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e9e884c4e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aryawan" sheetId="1" r:id="Rcfb0185534014b87"/>
    <x:sheet xmlns:r="http://schemas.openxmlformats.org/officeDocument/2006/relationships" name="Komposisi" sheetId="2" r:id="R2807b6d48b584ef2"/>
    <x:sheet xmlns:r="http://schemas.openxmlformats.org/officeDocument/2006/relationships" name="Panduan" sheetId="3" r:id="Rb85914b47ed346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p&quot; #,##0"/>
    <x:numFmt numFmtId="201" formatCode="yyyy-mm-dd"/>
    <x:numFmt numFmtId="202" formatCode="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24D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DCEAF7"/>
      </x:patternFill>
    </x:fill>
    <x:fill>
      <x:patternFill patternType="solid">
        <x:fgColor rgb="FF2E6BAE"/>
      </x:patternFill>
    </x:fill>
  </x:fills>
  <x:borders count="4">
    <x:border/>
    <x:border>
      <x:left style="thin">
        <x:color rgb="FF9CB6CE"/>
      </x:left>
      <x:top style="thin">
        <x:color rgb="FF9CB6CE"/>
      </x:top>
      <x:bottom style="thin">
        <x:color rgb="FF9CB6CE"/>
      </x:bottom>
    </x:border>
    <x:border>
      <x:right style="thin">
        <x:color rgb="FF9CB6CE"/>
      </x:right>
      <x:top style="thin">
        <x:color rgb="FF9CB6CE"/>
      </x:top>
      <x:bottom style="thin">
        <x:color rgb="FF9CB6CE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1" fillId="4" borderId="3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4" fillId="4" borderId="3" xfId="0" applyNumberFormat="1" applyFont="1" applyFill="1" applyBorder="1"/>
    <x:xf numFmtId="0" fontId="5" fillId="0" borderId="3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1c81d7dc5449c" /><Relationship Type="http://schemas.openxmlformats.org/officeDocument/2006/relationships/theme" Target="/xl/theme/theme1.xml" Id="R56c018cf333e4302" /><Relationship Type="http://schemas.openxmlformats.org/officeDocument/2006/relationships/sharedStrings" Target="/xl/sharedStrings.xml" Id="R8e395b4aed1548e9" /><Relationship Type="http://schemas.openxmlformats.org/officeDocument/2006/relationships/worksheet" Target="/xl/worksheets/sheet1.xml" Id="Rcfb0185534014b87" /><Relationship Type="http://schemas.openxmlformats.org/officeDocument/2006/relationships/worksheet" Target="/xl/worksheets/sheet2.xml" Id="R2807b6d48b584ef2" /><Relationship Type="http://schemas.openxmlformats.org/officeDocument/2006/relationships/worksheet" Target="/xl/worksheets/sheet3.xml" Id="Rb85914b47ed3461a" /></Relationships>
</file>

<file path=xl/tables/table1.xml><?xml version="1.0" encoding="utf-8"?>
<x:table xmlns:x="http://schemas.openxmlformats.org/spreadsheetml/2006/main" id="1" name="DataKaryawanTable" displayName="DataKaryawanTable" ref="A1:J221" headerRowCount="1" totalsRowCount="0" totalsRowShown="0">
  <x:tableColumns count="10">
    <x:tableColumn id="1" name="ID Karyawan"/>
    <x:tableColumn id="2" name="Nama Karyawan"/>
    <x:tableColumn id="3" name="Posisi"/>
    <x:tableColumn id="4" name="Departemen"/>
    <x:tableColumn id="5" name="Gaji"/>
    <x:tableColumn id="6" name="Jenis Kelamin"/>
    <x:tableColumn id="7" name="Status Pernikahan"/>
    <x:tableColumn id="8" name="Tanggal Masuk"/>
    <x:tableColumn id="9" name="Status Kerja"/>
    <x:tableColumn id="10" name="Skor Perfor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47ef2be32845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28" hidden="0" customWidth="1"/>
    <x:col min="5" max="5" width="16" hidden="0" customWidth="1"/>
    <x:col min="6" max="6" width="16" hidden="0" customWidth="1"/>
    <x:col min="7" max="7" width="19" hidden="0" customWidth="1"/>
    <x:col min="8" max="8" width="16" hidden="0" customWidth="1"/>
    <x:col min="9" max="9" width="14" hidden="0" customWidth="1"/>
    <x:col min="10" max="10" width="16" hidden="0" customWidth="1"/>
  </x:cols>
  <x:sheetData>
    <x:row r="1" ht="26" customHeight="1">
      <x:c r="A1" s="2" t="str">
        <x:v>ID Karyawan</x:v>
      </x:c>
      <x:c r="B1" s="2" t="str">
        <x:v>Nama Karyawan</x:v>
      </x:c>
      <x:c r="C1" s="2" t="str">
        <x:v>Posisi</x:v>
      </x:c>
      <x:c r="D1" s="2" t="str">
        <x:v>Departemen</x:v>
      </x:c>
      <x:c r="E1" s="2" t="str">
        <x:v>Gaji</x:v>
      </x:c>
      <x:c r="F1" s="2" t="str">
        <x:v>Jenis Kelamin</x:v>
      </x:c>
      <x:c r="G1" s="2" t="str">
        <x:v>Status Pernikahan</x:v>
      </x:c>
      <x:c r="H1" s="2" t="str">
        <x:v>Tanggal Masuk</x:v>
      </x:c>
      <x:c r="I1" s="2" t="str">
        <x:v>Status Kerja</x:v>
      </x:c>
      <x:c r="J1" s="2" t="str">
        <x:v>Skor Performa</x:v>
      </x:c>
    </x:row>
    <x:row r="2">
      <x:c r="A2" t="str">
        <x:v>EMP001</x:v>
      </x:c>
      <x:c r="B2" t="str">
        <x:v>Andi Pratama</x:v>
      </x:c>
      <x:c r="C2" t="str">
        <x:v>Direktur Utama</x:v>
      </x:c>
      <x:c r="D2" t="str">
        <x:v>FINANCE</x:v>
      </x:c>
      <x:c r="E2" s="3" t="n">
        <x:v>30000000</x:v>
      </x:c>
      <x:c r="F2" t="str">
        <x:v>Perempuan</x:v>
      </x:c>
      <x:c r="G2" t="str">
        <x:v>Menikah</x:v>
      </x:c>
      <x:c r="H2" s="4" t="n">
        <x:v>43101</x:v>
      </x:c>
      <x:c r="I2" t="str">
        <x:v>Kontrak</x:v>
      </x:c>
      <x:c r="J2" s="5" t="n">
        <x:v>72</x:v>
      </x:c>
    </x:row>
    <x:row r="3">
      <x:c r="A3" t="str">
        <x:v>EMP002</x:v>
      </x:c>
      <x:c r="B3" t="str">
        <x:v>Budi Pratama</x:v>
      </x:c>
      <x:c r="C3" t="str">
        <x:v>Manager Keuangan</x:v>
      </x:c>
      <x:c r="D3" t="str">
        <x:v>FINANCE</x:v>
      </x:c>
      <x:c r="E3" s="3" t="n">
        <x:v>15250000</x:v>
      </x:c>
      <x:c r="F3" t="str">
        <x:v>Laki-laki</x:v>
      </x:c>
      <x:c r="G3" t="str">
        <x:v>Belum Menikah</x:v>
      </x:c>
      <x:c r="H3" s="4" t="n">
        <x:v>43498</x:v>
      </x:c>
      <x:c r="I3" t="str">
        <x:v>Aktif</x:v>
      </x:c>
      <x:c r="J3" s="5" t="n">
        <x:v>79</x:v>
      </x:c>
    </x:row>
    <x:row r="4">
      <x:c r="A4" t="str">
        <x:v>EMP003</x:v>
      </x:c>
      <x:c r="B4" t="str">
        <x:v>Citra Pratama</x:v>
      </x:c>
      <x:c r="C4" t="str">
        <x:v>Staff Keuangan</x:v>
      </x:c>
      <x:c r="D4" t="str">
        <x:v>FINANCE</x:v>
      </x:c>
      <x:c r="E4" s="3" t="n">
        <x:v>6500000</x:v>
      </x:c>
      <x:c r="F4" t="str">
        <x:v>Perempuan</x:v>
      </x:c>
      <x:c r="G4" t="str">
        <x:v>Belum Menikah</x:v>
      </x:c>
      <x:c r="H4" s="4" t="n">
        <x:v>43893</x:v>
      </x:c>
      <x:c r="I4" t="str">
        <x:v>Aktif</x:v>
      </x:c>
      <x:c r="J4" s="5" t="n">
        <x:v>86</x:v>
      </x:c>
    </x:row>
    <x:row r="5">
      <x:c r="A5" t="str">
        <x:v>EMP004</x:v>
      </x:c>
      <x:c r="B5" t="str">
        <x:v>Dedi Pratama</x:v>
      </x:c>
      <x:c r="C5" t="str">
        <x:v>Staff Keuangan</x:v>
      </x:c>
      <x:c r="D5" t="str">
        <x:v>FINANCE</x:v>
      </x:c>
      <x:c r="E5" s="3" t="n">
        <x:v>6750000</x:v>
      </x:c>
      <x:c r="F5" t="str">
        <x:v>Laki-laki</x:v>
      </x:c>
      <x:c r="G5" t="str">
        <x:v>Menikah</x:v>
      </x:c>
      <x:c r="H5" s="4" t="n">
        <x:v>44290</x:v>
      </x:c>
      <x:c r="I5" t="str">
        <x:v>Aktif</x:v>
      </x:c>
      <x:c r="J5" s="5" t="n">
        <x:v>93</x:v>
      </x:c>
    </x:row>
    <x:row r="6">
      <x:c r="A6" t="str">
        <x:v>EMP005</x:v>
      </x:c>
      <x:c r="B6" t="str">
        <x:v>Eka Pratama</x:v>
      </x:c>
      <x:c r="C6" t="str">
        <x:v>Staff Keuangan</x:v>
      </x:c>
      <x:c r="D6" t="str">
        <x:v>FINANCE</x:v>
      </x:c>
      <x:c r="E6" s="3" t="n">
        <x:v>6000000</x:v>
      </x:c>
      <x:c r="F6" t="str">
        <x:v>Perempuan</x:v>
      </x:c>
      <x:c r="G6" t="str">
        <x:v>Belum Menikah</x:v>
      </x:c>
      <x:c r="H6" s="4" t="n">
        <x:v>44686</x:v>
      </x:c>
      <x:c r="I6" t="str">
        <x:v>Aktif</x:v>
      </x:c>
      <x:c r="J6" s="5" t="n">
        <x:v>73</x:v>
      </x:c>
    </x:row>
    <x:row r="7">
      <x:c r="A7" t="str">
        <x:v>EMP006</x:v>
      </x:c>
      <x:c r="B7" t="str">
        <x:v>Fajar Pratama</x:v>
      </x:c>
      <x:c r="C7" t="str">
        <x:v>Staff Keuangan</x:v>
      </x:c>
      <x:c r="D7" t="str">
        <x:v>FINANCE</x:v>
      </x:c>
      <x:c r="E7" s="3" t="n">
        <x:v>6250000</x:v>
      </x:c>
      <x:c r="F7" t="str">
        <x:v>Laki-laki</x:v>
      </x:c>
      <x:c r="G7" t="str">
        <x:v>Belum Menikah</x:v>
      </x:c>
      <x:c r="H7" s="4" t="n">
        <x:v>45083</x:v>
      </x:c>
      <x:c r="I7" t="str">
        <x:v>Aktif</x:v>
      </x:c>
      <x:c r="J7" s="5" t="n">
        <x:v>80</x:v>
      </x:c>
    </x:row>
    <x:row r="8">
      <x:c r="A8" t="str">
        <x:v>EMP007</x:v>
      </x:c>
      <x:c r="B8" t="str">
        <x:v>Gita Pratama</x:v>
      </x:c>
      <x:c r="C8" t="str">
        <x:v>Staff Keuangan</x:v>
      </x:c>
      <x:c r="D8" t="str">
        <x:v>FINANCE</x:v>
      </x:c>
      <x:c r="E8" s="3" t="n">
        <x:v>6500000</x:v>
      </x:c>
      <x:c r="F8" t="str">
        <x:v>Perempuan</x:v>
      </x:c>
      <x:c r="G8" t="str">
        <x:v>Menikah</x:v>
      </x:c>
      <x:c r="H8" s="4" t="n">
        <x:v>45480</x:v>
      </x:c>
      <x:c r="I8" t="str">
        <x:v>Aktif</x:v>
      </x:c>
      <x:c r="J8" s="5" t="n">
        <x:v>87</x:v>
      </x:c>
    </x:row>
    <x:row r="9">
      <x:c r="A9" t="str">
        <x:v>EMP008</x:v>
      </x:c>
      <x:c r="B9" t="str">
        <x:v>Hendra Pratama</x:v>
      </x:c>
      <x:c r="C9" t="str">
        <x:v>Admin</x:v>
      </x:c>
      <x:c r="D9" t="str">
        <x:v>FINANCE</x:v>
      </x:c>
      <x:c r="E9" s="3" t="n">
        <x:v>6750000</x:v>
      </x:c>
      <x:c r="F9" t="str">
        <x:v>Perempuan</x:v>
      </x:c>
      <x:c r="G9" t="str">
        <x:v>Belum Menikah</x:v>
      </x:c>
      <x:c r="H9" s="4" t="n">
        <x:v>45877</x:v>
      </x:c>
      <x:c r="I9" t="str">
        <x:v>Aktif</x:v>
      </x:c>
      <x:c r="J9" s="5" t="n">
        <x:v>94</x:v>
      </x:c>
    </x:row>
    <x:row r="10">
      <x:c r="A10" t="str">
        <x:v>EMP009</x:v>
      </x:c>
      <x:c r="B10" t="str">
        <x:v>Indah Pratama</x:v>
      </x:c>
      <x:c r="C10" t="str">
        <x:v>Admin</x:v>
      </x:c>
      <x:c r="D10" t="str">
        <x:v>FINANCE</x:v>
      </x:c>
      <x:c r="E10" s="3" t="n">
        <x:v>6000000</x:v>
      </x:c>
      <x:c r="F10" t="str">
        <x:v>Perempuan</x:v>
      </x:c>
      <x:c r="G10" t="str">
        <x:v>Belum Menikah</x:v>
      </x:c>
      <x:c r="H10" s="4" t="n">
        <x:v>46274</x:v>
      </x:c>
      <x:c r="I10" t="str">
        <x:v>Aktif</x:v>
      </x:c>
      <x:c r="J10" s="5" t="n">
        <x:v>74</x:v>
      </x:c>
    </x:row>
    <x:row r="11">
      <x:c r="A11" t="str">
        <x:v>EMP010</x:v>
      </x:c>
      <x:c r="B11" t="str">
        <x:v>Joko Pratama</x:v>
      </x:c>
      <x:c r="C11" t="str">
        <x:v>Pengadaan</x:v>
      </x:c>
      <x:c r="D11" t="str">
        <x:v>FINANCE</x:v>
      </x:c>
      <x:c r="E11" s="3" t="n">
        <x:v>6250000</x:v>
      </x:c>
      <x:c r="F11" t="str">
        <x:v>Laki-laki</x:v>
      </x:c>
      <x:c r="G11" t="str">
        <x:v>Menikah</x:v>
      </x:c>
      <x:c r="H11" s="4" t="n">
        <x:v>43383</x:v>
      </x:c>
      <x:c r="I11" t="str">
        <x:v>Aktif</x:v>
      </x:c>
      <x:c r="J11" s="5" t="n">
        <x:v>81</x:v>
      </x:c>
    </x:row>
    <x:row r="12">
      <x:c r="A12" t="str">
        <x:v>EMP011</x:v>
      </x:c>
      <x:c r="B12" t="str">
        <x:v>Kartika Pratama</x:v>
      </x:c>
      <x:c r="C12" t="str">
        <x:v>Pengadaan</x:v>
      </x:c>
      <x:c r="D12" t="str">
        <x:v>FINANCE</x:v>
      </x:c>
      <x:c r="E12" s="3" t="n">
        <x:v>6500000</x:v>
      </x:c>
      <x:c r="F12" t="str">
        <x:v>Laki-laki</x:v>
      </x:c>
      <x:c r="G12" t="str">
        <x:v>Belum Menikah</x:v>
      </x:c>
      <x:c r="H12" s="4" t="n">
        <x:v>43780</x:v>
      </x:c>
      <x:c r="I12" t="str">
        <x:v>Kontrak</x:v>
      </x:c>
      <x:c r="J12" s="5" t="n">
        <x:v>88</x:v>
      </x:c>
    </x:row>
    <x:row r="13">
      <x:c r="A13" t="str">
        <x:v>EMP012</x:v>
      </x:c>
      <x:c r="B13" t="str">
        <x:v>Lukman Pratama</x:v>
      </x:c>
      <x:c r="C13" t="str">
        <x:v>Senior Advisor</x:v>
      </x:c>
      <x:c r="D13" t="str">
        <x:v>FINANCE</x:v>
      </x:c>
      <x:c r="E13" s="3" t="n">
        <x:v>15750000</x:v>
      </x:c>
      <x:c r="F13" t="str">
        <x:v>Laki-laki</x:v>
      </x:c>
      <x:c r="G13" t="str">
        <x:v>Belum Menikah</x:v>
      </x:c>
      <x:c r="H13" s="4" t="n">
        <x:v>44177</x:v>
      </x:c>
      <x:c r="I13" t="str">
        <x:v>Aktif</x:v>
      </x:c>
      <x:c r="J13" s="5" t="n">
        <x:v>95</x:v>
      </x:c>
    </x:row>
    <x:row r="14">
      <x:c r="A14" t="str">
        <x:v>EMP013</x:v>
      </x:c>
      <x:c r="B14" t="str">
        <x:v>Maya Pratama</x:v>
      </x:c>
      <x:c r="C14" t="str">
        <x:v>Direktur</x:v>
      </x:c>
      <x:c r="D14" t="str">
        <x:v>PROJECT</x:v>
      </x:c>
      <x:c r="E14" s="3" t="n">
        <x:v>25000000</x:v>
      </x:c>
      <x:c r="F14" t="str">
        <x:v>Laki-laki</x:v>
      </x:c>
      <x:c r="G14" t="str">
        <x:v>Menikah</x:v>
      </x:c>
      <x:c r="H14" s="4" t="n">
        <x:v>44209</x:v>
      </x:c>
      <x:c r="I14" t="str">
        <x:v>Aktif</x:v>
      </x:c>
      <x:c r="J14" s="5" t="n">
        <x:v>75</x:v>
      </x:c>
    </x:row>
    <x:row r="15">
      <x:c r="A15" t="str">
        <x:v>EMP014</x:v>
      </x:c>
      <x:c r="B15" t="str">
        <x:v>Naufal Pratama</x:v>
      </x:c>
      <x:c r="C15" t="str">
        <x:v>Site Manager PJBS</x:v>
      </x:c>
      <x:c r="D15" t="str">
        <x:v>PROJECT</x:v>
      </x:c>
      <x:c r="E15" s="3" t="n">
        <x:v>15250000</x:v>
      </x:c>
      <x:c r="F15" t="str">
        <x:v>Laki-laki</x:v>
      </x:c>
      <x:c r="G15" t="str">
        <x:v>Belum Menikah</x:v>
      </x:c>
      <x:c r="H15" s="4" t="n">
        <x:v>44606</x:v>
      </x:c>
      <x:c r="I15" t="str">
        <x:v>Aktif</x:v>
      </x:c>
      <x:c r="J15" s="5" t="n">
        <x:v>82</x:v>
      </x:c>
    </x:row>
    <x:row r="16">
      <x:c r="A16" t="str">
        <x:v>EMP015</x:v>
      </x:c>
      <x:c r="B16" t="str">
        <x:v>Oktavia Pratama</x:v>
      </x:c>
      <x:c r="C16" t="str">
        <x:v>Business Advisor</x:v>
      </x:c>
      <x:c r="D16" t="str">
        <x:v>PROJECT</x:v>
      </x:c>
      <x:c r="E16" s="3" t="n">
        <x:v>15500000</x:v>
      </x:c>
      <x:c r="F16" t="str">
        <x:v>Perempuan</x:v>
      </x:c>
      <x:c r="G16" t="str">
        <x:v>Belum Menikah</x:v>
      </x:c>
      <x:c r="H16" s="4" t="n">
        <x:v>45000</x:v>
      </x:c>
      <x:c r="I16" t="str">
        <x:v>Aktif</x:v>
      </x:c>
      <x:c r="J16" s="5" t="n">
        <x:v>89</x:v>
      </x:c>
    </x:row>
    <x:row r="17">
      <x:c r="A17" t="str">
        <x:v>EMP016</x:v>
      </x:c>
      <x:c r="B17" t="str">
        <x:v>Putra Pratama</x:v>
      </x:c>
      <x:c r="C17" t="str">
        <x:v>Manager Contract Liaison</x:v>
      </x:c>
      <x:c r="D17" t="str">
        <x:v>PROJECT</x:v>
      </x:c>
      <x:c r="E17" s="3" t="n">
        <x:v>15750000</x:v>
      </x:c>
      <x:c r="F17" t="str">
        <x:v>Laki-laki</x:v>
      </x:c>
      <x:c r="G17" t="str">
        <x:v>Menikah</x:v>
      </x:c>
      <x:c r="H17" s="4" t="n">
        <x:v>45398</x:v>
      </x:c>
      <x:c r="I17" t="str">
        <x:v>Aktif</x:v>
      </x:c>
      <x:c r="J17" s="5" t="n">
        <x:v>96</x:v>
      </x:c>
    </x:row>
    <x:row r="18">
      <x:c r="A18" t="str">
        <x:v>EMP017</x:v>
      </x:c>
      <x:c r="B18" t="str">
        <x:v>Qori Pratama</x:v>
      </x:c>
      <x:c r="C18" t="str">
        <x:v>Staff Project</x:v>
      </x:c>
      <x:c r="D18" t="str">
        <x:v>PROJECT</x:v>
      </x:c>
      <x:c r="E18" s="3" t="n">
        <x:v>6000000</x:v>
      </x:c>
      <x:c r="F18" t="str">
        <x:v>Laki-laki</x:v>
      </x:c>
      <x:c r="G18" t="str">
        <x:v>Belum Menikah</x:v>
      </x:c>
      <x:c r="H18" s="4" t="n">
        <x:v>45794</x:v>
      </x:c>
      <x:c r="I18" t="str">
        <x:v>Aktif</x:v>
      </x:c>
      <x:c r="J18" s="5" t="n">
        <x:v>76</x:v>
      </x:c>
    </x:row>
    <x:row r="19">
      <x:c r="A19" t="str">
        <x:v>EMP018</x:v>
      </x:c>
      <x:c r="B19" t="str">
        <x:v>Rizky Pratama</x:v>
      </x:c>
      <x:c r="C19" t="str">
        <x:v>Staff Project</x:v>
      </x:c>
      <x:c r="D19" t="str">
        <x:v>PROJECT</x:v>
      </x:c>
      <x:c r="E19" s="3" t="n">
        <x:v>6250000</x:v>
      </x:c>
      <x:c r="F19" t="str">
        <x:v>Laki-laki</x:v>
      </x:c>
      <x:c r="G19" t="str">
        <x:v>Belum Menikah</x:v>
      </x:c>
      <x:c r="H19" s="4" t="n">
        <x:v>46191</x:v>
      </x:c>
      <x:c r="I19" t="str">
        <x:v>Aktif</x:v>
      </x:c>
      <x:c r="J19" s="5" t="n">
        <x:v>83</x:v>
      </x:c>
    </x:row>
    <x:row r="20">
      <x:c r="A20" t="str">
        <x:v>EMP019</x:v>
      </x:c>
      <x:c r="B20" t="str">
        <x:v>Sari Pratama</x:v>
      </x:c>
      <x:c r="C20" t="str">
        <x:v>Staff Project</x:v>
      </x:c>
      <x:c r="D20" t="str">
        <x:v>PROJECT</x:v>
      </x:c>
      <x:c r="E20" s="3" t="n">
        <x:v>6500000</x:v>
      </x:c>
      <x:c r="F20" t="str">
        <x:v>Laki-laki</x:v>
      </x:c>
      <x:c r="G20" t="str">
        <x:v>Menikah</x:v>
      </x:c>
      <x:c r="H20" s="4" t="n">
        <x:v>43300</x:v>
      </x:c>
      <x:c r="I20" t="str">
        <x:v>Aktif</x:v>
      </x:c>
      <x:c r="J20" s="5" t="n">
        <x:v>90</x:v>
      </x:c>
    </x:row>
    <x:row r="21">
      <x:c r="A21" t="str">
        <x:v>EMP020</x:v>
      </x:c>
      <x:c r="B21" t="str">
        <x:v>Taufik Pratama</x:v>
      </x:c>
      <x:c r="C21" t="str">
        <x:v>Staff Project</x:v>
      </x:c>
      <x:c r="D21" t="str">
        <x:v>PROJECT</x:v>
      </x:c>
      <x:c r="E21" s="3" t="n">
        <x:v>6750000</x:v>
      </x:c>
      <x:c r="F21" t="str">
        <x:v>Laki-laki</x:v>
      </x:c>
      <x:c r="G21" t="str">
        <x:v>Belum Menikah</x:v>
      </x:c>
      <x:c r="H21" s="4" t="n">
        <x:v>43697</x:v>
      </x:c>
      <x:c r="I21" t="str">
        <x:v>Aktif</x:v>
      </x:c>
      <x:c r="J21" s="5" t="n">
        <x:v>97</x:v>
      </x:c>
    </x:row>
    <x:row r="22">
      <x:c r="A22" t="str">
        <x:v>EMP021</x:v>
      </x:c>
      <x:c r="B22" t="str">
        <x:v>Utami Pratama</x:v>
      </x:c>
      <x:c r="C22" t="str">
        <x:v>Staff Project</x:v>
      </x:c>
      <x:c r="D22" t="str">
        <x:v>PROJECT</x:v>
      </x:c>
      <x:c r="E22" s="3" t="n">
        <x:v>6000000</x:v>
      </x:c>
      <x:c r="F22" t="str">
        <x:v>Laki-laki</x:v>
      </x:c>
      <x:c r="G22" t="str">
        <x:v>Belum Menikah</x:v>
      </x:c>
      <x:c r="H22" s="4" t="n">
        <x:v>44095</x:v>
      </x:c>
      <x:c r="I22" t="str">
        <x:v>Kontrak</x:v>
      </x:c>
      <x:c r="J22" s="5" t="n">
        <x:v>77</x:v>
      </x:c>
    </x:row>
    <x:row r="23">
      <x:c r="A23" t="str">
        <x:v>EMP022</x:v>
      </x:c>
      <x:c r="B23" t="str">
        <x:v>Vina Pratama</x:v>
      </x:c>
      <x:c r="C23" t="str">
        <x:v>Staff Project</x:v>
      </x:c>
      <x:c r="D23" t="str">
        <x:v>PROJECT</x:v>
      </x:c>
      <x:c r="E23" s="3" t="n">
        <x:v>6250000</x:v>
      </x:c>
      <x:c r="F23" t="str">
        <x:v>Perempuan</x:v>
      </x:c>
      <x:c r="G23" t="str">
        <x:v>Menikah</x:v>
      </x:c>
      <x:c r="H23" s="4" t="n">
        <x:v>44491</x:v>
      </x:c>
      <x:c r="I23" t="str">
        <x:v>Aktif</x:v>
      </x:c>
      <x:c r="J23" s="5" t="n">
        <x:v>84</x:v>
      </x:c>
    </x:row>
    <x:row r="24">
      <x:c r="A24" t="str">
        <x:v>EMP023</x:v>
      </x:c>
      <x:c r="B24" t="str">
        <x:v>Wahyu Pratama</x:v>
      </x:c>
      <x:c r="C24" t="str">
        <x:v>PIC</x:v>
      </x:c>
      <x:c r="D24" t="str">
        <x:v>PROJECT</x:v>
      </x:c>
      <x:c r="E24" s="3" t="n">
        <x:v>8500000</x:v>
      </x:c>
      <x:c r="F24" t="str">
        <x:v>Laki-laki</x:v>
      </x:c>
      <x:c r="G24" t="str">
        <x:v>Belum Menikah</x:v>
      </x:c>
      <x:c r="H24" s="4" t="n">
        <x:v>44888</x:v>
      </x:c>
      <x:c r="I24" t="str">
        <x:v>Aktif</x:v>
      </x:c>
      <x:c r="J24" s="5" t="n">
        <x:v>91</x:v>
      </x:c>
    </x:row>
    <x:row r="25">
      <x:c r="A25" t="str">
        <x:v>EMP024</x:v>
      </x:c>
      <x:c r="B25" t="str">
        <x:v>Yuni Pratama</x:v>
      </x:c>
      <x:c r="C25" t="str">
        <x:v>PIC</x:v>
      </x:c>
      <x:c r="D25" t="str">
        <x:v>PROJECT</x:v>
      </x:c>
      <x:c r="E25" s="3" t="n">
        <x:v>8750000</x:v>
      </x:c>
      <x:c r="F25" t="str">
        <x:v>Laki-laki</x:v>
      </x:c>
      <x:c r="G25" t="str">
        <x:v>Belum Menikah</x:v>
      </x:c>
      <x:c r="H25" s="4" t="n">
        <x:v>45284</x:v>
      </x:c>
      <x:c r="I25" t="str">
        <x:v>Aktif</x:v>
      </x:c>
      <x:c r="J25" s="5" t="n">
        <x:v>98</x:v>
      </x:c>
    </x:row>
    <x:row r="26">
      <x:c r="A26" t="str">
        <x:v>EMP025</x:v>
      </x:c>
      <x:c r="B26" t="str">
        <x:v>Zaki Pratama</x:v>
      </x:c>
      <x:c r="C26" t="str">
        <x:v>Site Manager</x:v>
      </x:c>
      <x:c r="D26" t="str">
        <x:v>PROJECT</x:v>
      </x:c>
      <x:c r="E26" s="3" t="n">
        <x:v>15000000</x:v>
      </x:c>
      <x:c r="F26" t="str">
        <x:v>Laki-laki</x:v>
      </x:c>
      <x:c r="G26" t="str">
        <x:v>Menikah</x:v>
      </x:c>
      <x:c r="H26" s="4" t="n">
        <x:v>45316</x:v>
      </x:c>
      <x:c r="I26" t="str">
        <x:v>Aktif</x:v>
      </x:c>
      <x:c r="J26" s="5" t="n">
        <x:v>78</x:v>
      </x:c>
    </x:row>
    <x:row r="27">
      <x:c r="A27" t="str">
        <x:v>EMP026</x:v>
      </x:c>
      <x:c r="B27" t="str">
        <x:v>Andi Santoso</x:v>
      </x:c>
      <x:c r="C27" t="str">
        <x:v>Site Manager</x:v>
      </x:c>
      <x:c r="D27" t="str">
        <x:v>PROJECT</x:v>
      </x:c>
      <x:c r="E27" s="3" t="n">
        <x:v>15250000</x:v>
      </x:c>
      <x:c r="F27" t="str">
        <x:v>Laki-laki</x:v>
      </x:c>
      <x:c r="G27" t="str">
        <x:v>Belum Menikah</x:v>
      </x:c>
      <x:c r="H27" s="4" t="n">
        <x:v>45714</x:v>
      </x:c>
      <x:c r="I27" t="str">
        <x:v>Aktif</x:v>
      </x:c>
      <x:c r="J27" s="5" t="n">
        <x:v>85</x:v>
      </x:c>
    </x:row>
    <x:row r="28">
      <x:c r="A28" t="str">
        <x:v>EMP027</x:v>
      </x:c>
      <x:c r="B28" t="str">
        <x:v>Budi Santoso</x:v>
      </x:c>
      <x:c r="C28" t="str">
        <x:v>Leader Project</x:v>
      </x:c>
      <x:c r="D28" t="str">
        <x:v>PROJECT</x:v>
      </x:c>
      <x:c r="E28" s="3" t="n">
        <x:v>8500000</x:v>
      </x:c>
      <x:c r="F28" t="str">
        <x:v>Laki-laki</x:v>
      </x:c>
      <x:c r="G28" t="str">
        <x:v>Belum Menikah</x:v>
      </x:c>
      <x:c r="H28" s="4" t="n">
        <x:v>46108</x:v>
      </x:c>
      <x:c r="I28" t="str">
        <x:v>Aktif</x:v>
      </x:c>
      <x:c r="J28" s="5" t="n">
        <x:v>92</x:v>
      </x:c>
    </x:row>
    <x:row r="29">
      <x:c r="A29" t="str">
        <x:v>EMP028</x:v>
      </x:c>
      <x:c r="B29" t="str">
        <x:v>Citra Santoso</x:v>
      </x:c>
      <x:c r="C29" t="str">
        <x:v>Leader Project</x:v>
      </x:c>
      <x:c r="D29" t="str">
        <x:v>PROJECT</x:v>
      </x:c>
      <x:c r="E29" s="3" t="n">
        <x:v>8750000</x:v>
      </x:c>
      <x:c r="F29" t="str">
        <x:v>Laki-laki</x:v>
      </x:c>
      <x:c r="G29" t="str">
        <x:v>Menikah</x:v>
      </x:c>
      <x:c r="H29" s="4" t="n">
        <x:v>43191</x:v>
      </x:c>
      <x:c r="I29" t="str">
        <x:v>Aktif</x:v>
      </x:c>
      <x:c r="J29" s="5" t="n">
        <x:v>72</x:v>
      </x:c>
    </x:row>
    <x:row r="30">
      <x:c r="A30" t="str">
        <x:v>EMP029</x:v>
      </x:c>
      <x:c r="B30" t="str">
        <x:v>Dedi Santoso</x:v>
      </x:c>
      <x:c r="C30" t="str">
        <x:v>Leader Project</x:v>
      </x:c>
      <x:c r="D30" t="str">
        <x:v>PROJECT</x:v>
      </x:c>
      <x:c r="E30" s="3" t="n">
        <x:v>8000000</x:v>
      </x:c>
      <x:c r="F30" t="str">
        <x:v>Perempuan</x:v>
      </x:c>
      <x:c r="G30" t="str">
        <x:v>Belum Menikah</x:v>
      </x:c>
      <x:c r="H30" s="4" t="n">
        <x:v>43587</x:v>
      </x:c>
      <x:c r="I30" t="str">
        <x:v>Aktif</x:v>
      </x:c>
      <x:c r="J30" s="5" t="n">
        <x:v>79</x:v>
      </x:c>
    </x:row>
    <x:row r="31">
      <x:c r="A31" t="str">
        <x:v>EMP030</x:v>
      </x:c>
      <x:c r="B31" t="str">
        <x:v>Eka Santoso</x:v>
      </x:c>
      <x:c r="C31" t="str">
        <x:v>Surveyor</x:v>
      </x:c>
      <x:c r="D31" t="str">
        <x:v>PROJECT</x:v>
      </x:c>
      <x:c r="E31" s="3" t="n">
        <x:v>6250000</x:v>
      </x:c>
      <x:c r="F31" t="str">
        <x:v>Laki-laki</x:v>
      </x:c>
      <x:c r="G31" t="str">
        <x:v>Belum Menikah</x:v>
      </x:c>
      <x:c r="H31" s="4" t="n">
        <x:v>43985</x:v>
      </x:c>
      <x:c r="I31" t="str">
        <x:v>Aktif</x:v>
      </x:c>
      <x:c r="J31" s="5" t="n">
        <x:v>86</x:v>
      </x:c>
    </x:row>
    <x:row r="32">
      <x:c r="A32" t="str">
        <x:v>EMP031</x:v>
      </x:c>
      <x:c r="B32" t="str">
        <x:v>Fajar Santoso</x:v>
      </x:c>
      <x:c r="C32" t="str">
        <x:v>Surveyor</x:v>
      </x:c>
      <x:c r="D32" t="str">
        <x:v>PROJECT</x:v>
      </x:c>
      <x:c r="E32" s="3" t="n">
        <x:v>6500000</x:v>
      </x:c>
      <x:c r="F32" t="str">
        <x:v>Laki-laki</x:v>
      </x:c>
      <x:c r="G32" t="str">
        <x:v>Menikah</x:v>
      </x:c>
      <x:c r="H32" s="4" t="n">
        <x:v>44381</x:v>
      </x:c>
      <x:c r="I32" t="str">
        <x:v>Kontrak</x:v>
      </x:c>
      <x:c r="J32" s="5" t="n">
        <x:v>93</x:v>
      </x:c>
    </x:row>
    <x:row r="33">
      <x:c r="A33" t="str">
        <x:v>EMP032</x:v>
      </x:c>
      <x:c r="B33" t="str">
        <x:v>Gita Santoso</x:v>
      </x:c>
      <x:c r="C33" t="str">
        <x:v>Surveyor</x:v>
      </x:c>
      <x:c r="D33" t="str">
        <x:v>PROJECT</x:v>
      </x:c>
      <x:c r="E33" s="3" t="n">
        <x:v>6750000</x:v>
      </x:c>
      <x:c r="F33" t="str">
        <x:v>Laki-laki</x:v>
      </x:c>
      <x:c r="G33" t="str">
        <x:v>Belum Menikah</x:v>
      </x:c>
      <x:c r="H33" s="4" t="n">
        <x:v>44778</x:v>
      </x:c>
      <x:c r="I33" t="str">
        <x:v>Aktif</x:v>
      </x:c>
      <x:c r="J33" s="5" t="n">
        <x:v>73</x:v>
      </x:c>
    </x:row>
    <x:row r="34">
      <x:c r="A34" t="str">
        <x:v>EMP033</x:v>
      </x:c>
      <x:c r="B34" t="str">
        <x:v>Hendra Santoso</x:v>
      </x:c>
      <x:c r="C34" t="str">
        <x:v>Surveyor</x:v>
      </x:c>
      <x:c r="D34" t="str">
        <x:v>PROJECT</x:v>
      </x:c>
      <x:c r="E34" s="3" t="n">
        <x:v>6000000</x:v>
      </x:c>
      <x:c r="F34" t="str">
        <x:v>Laki-laki</x:v>
      </x:c>
      <x:c r="G34" t="str">
        <x:v>Belum Menikah</x:v>
      </x:c>
      <x:c r="H34" s="4" t="n">
        <x:v>45175</x:v>
      </x:c>
      <x:c r="I34" t="str">
        <x:v>Aktif</x:v>
      </x:c>
      <x:c r="J34" s="5" t="n">
        <x:v>80</x:v>
      </x:c>
    </x:row>
    <x:row r="35">
      <x:c r="A35" t="str">
        <x:v>EMP034</x:v>
      </x:c>
      <x:c r="B35" t="str">
        <x:v>Indah Santoso</x:v>
      </x:c>
      <x:c r="C35" t="str">
        <x:v>Admin Legal</x:v>
      </x:c>
      <x:c r="D35" t="str">
        <x:v>PROJECT</x:v>
      </x:c>
      <x:c r="E35" s="3" t="n">
        <x:v>6250000</x:v>
      </x:c>
      <x:c r="F35" t="str">
        <x:v>Laki-laki</x:v>
      </x:c>
      <x:c r="G35" t="str">
        <x:v>Menikah</x:v>
      </x:c>
      <x:c r="H35" s="4" t="n">
        <x:v>45572</x:v>
      </x:c>
      <x:c r="I35" t="str">
        <x:v>Aktif</x:v>
      </x:c>
      <x:c r="J35" s="5" t="n">
        <x:v>87</x:v>
      </x:c>
    </x:row>
    <x:row r="36">
      <x:c r="A36" t="str">
        <x:v>EMP035</x:v>
      </x:c>
      <x:c r="B36" t="str">
        <x:v>Joko Santoso</x:v>
      </x:c>
      <x:c r="C36" t="str">
        <x:v>Admin Legal</x:v>
      </x:c>
      <x:c r="D36" t="str">
        <x:v>PROJECT</x:v>
      </x:c>
      <x:c r="E36" s="3" t="n">
        <x:v>6500000</x:v>
      </x:c>
      <x:c r="F36" t="str">
        <x:v>Perempuan</x:v>
      </x:c>
      <x:c r="G36" t="str">
        <x:v>Belum Menikah</x:v>
      </x:c>
      <x:c r="H36" s="4" t="n">
        <x:v>45969</x:v>
      </x:c>
      <x:c r="I36" t="str">
        <x:v>Aktif</x:v>
      </x:c>
      <x:c r="J36" s="5" t="n">
        <x:v>94</x:v>
      </x:c>
    </x:row>
    <x:row r="37">
      <x:c r="A37" t="str">
        <x:v>EMP036</x:v>
      </x:c>
      <x:c r="B37" t="str">
        <x:v>Kartika Santoso</x:v>
      </x:c>
      <x:c r="C37" t="str">
        <x:v>HSSE</x:v>
      </x:c>
      <x:c r="D37" t="str">
        <x:v>PROJECT</x:v>
      </x:c>
      <x:c r="E37" s="3" t="n">
        <x:v>8750000</x:v>
      </x:c>
      <x:c r="F37" t="str">
        <x:v>Perempuan</x:v>
      </x:c>
      <x:c r="G37" t="str">
        <x:v>Belum Menikah</x:v>
      </x:c>
      <x:c r="H37" s="4" t="n">
        <x:v>46365</x:v>
      </x:c>
      <x:c r="I37" t="str">
        <x:v>Aktif</x:v>
      </x:c>
      <x:c r="J37" s="5" t="n">
        <x:v>74</x:v>
      </x:c>
    </x:row>
    <x:row r="38">
      <x:c r="A38" t="str">
        <x:v>EMP037</x:v>
      </x:c>
      <x:c r="B38" t="str">
        <x:v>Lukman Santoso</x:v>
      </x:c>
      <x:c r="C38" t="str">
        <x:v>HSSE</x:v>
      </x:c>
      <x:c r="D38" t="str">
        <x:v>PROJECT</x:v>
      </x:c>
      <x:c r="E38" s="3" t="n">
        <x:v>8000000</x:v>
      </x:c>
      <x:c r="F38" t="str">
        <x:v>Laki-laki</x:v>
      </x:c>
      <x:c r="G38" t="str">
        <x:v>Menikah</x:v>
      </x:c>
      <x:c r="H38" s="4" t="n">
        <x:v>43110</x:v>
      </x:c>
      <x:c r="I38" t="str">
        <x:v>Aktif</x:v>
      </x:c>
      <x:c r="J38" s="5" t="n">
        <x:v>81</x:v>
      </x:c>
    </x:row>
    <x:row r="39">
      <x:c r="A39" t="str">
        <x:v>EMP038</x:v>
      </x:c>
      <x:c r="B39" t="str">
        <x:v>Maya Santoso</x:v>
      </x:c>
      <x:c r="C39" t="str">
        <x:v>Admin HSSE</x:v>
      </x:c>
      <x:c r="D39" t="str">
        <x:v>PROJECT</x:v>
      </x:c>
      <x:c r="E39" s="3" t="n">
        <x:v>8250000</x:v>
      </x:c>
      <x:c r="F39" t="str">
        <x:v>Laki-laki</x:v>
      </x:c>
      <x:c r="G39" t="str">
        <x:v>Belum Menikah</x:v>
      </x:c>
      <x:c r="H39" s="4" t="n">
        <x:v>43507</x:v>
      </x:c>
      <x:c r="I39" t="str">
        <x:v>Aktif</x:v>
      </x:c>
      <x:c r="J39" s="5" t="n">
        <x:v>88</x:v>
      </x:c>
    </x:row>
    <x:row r="40">
      <x:c r="A40" t="str">
        <x:v>EMP039</x:v>
      </x:c>
      <x:c r="B40" t="str">
        <x:v>Naufal Santoso</x:v>
      </x:c>
      <x:c r="C40" t="str">
        <x:v>Admin HSSE</x:v>
      </x:c>
      <x:c r="D40" t="str">
        <x:v>PROJECT</x:v>
      </x:c>
      <x:c r="E40" s="3" t="n">
        <x:v>8500000</x:v>
      </x:c>
      <x:c r="F40" t="str">
        <x:v>Perempuan</x:v>
      </x:c>
      <x:c r="G40" t="str">
        <x:v>Belum Menikah</x:v>
      </x:c>
      <x:c r="H40" s="4" t="n">
        <x:v>43902</x:v>
      </x:c>
      <x:c r="I40" t="str">
        <x:v>Aktif</x:v>
      </x:c>
      <x:c r="J40" s="5" t="n">
        <x:v>95</x:v>
      </x:c>
    </x:row>
    <x:row r="41">
      <x:c r="A41" t="str">
        <x:v>EMP040</x:v>
      </x:c>
      <x:c r="B41" t="str">
        <x:v>Oktavia Santoso</x:v>
      </x:c>
      <x:c r="C41" t="str">
        <x:v>Driver</x:v>
      </x:c>
      <x:c r="D41" t="str">
        <x:v>PROJECT</x:v>
      </x:c>
      <x:c r="E41" s="3" t="n">
        <x:v>6250000</x:v>
      </x:c>
      <x:c r="F41" t="str">
        <x:v>Laki-laki</x:v>
      </x:c>
      <x:c r="G41" t="str">
        <x:v>Menikah</x:v>
      </x:c>
      <x:c r="H41" s="4" t="n">
        <x:v>44299</x:v>
      </x:c>
      <x:c r="I41" t="str">
        <x:v>Aktif</x:v>
      </x:c>
      <x:c r="J41" s="5" t="n">
        <x:v>75</x:v>
      </x:c>
    </x:row>
    <x:row r="42">
      <x:c r="A42" t="str">
        <x:v>EMP041</x:v>
      </x:c>
      <x:c r="B42" t="str">
        <x:v>Putra Santoso</x:v>
      </x:c>
      <x:c r="C42" t="str">
        <x:v>Driver</x:v>
      </x:c>
      <x:c r="D42" t="str">
        <x:v>PROJECT</x:v>
      </x:c>
      <x:c r="E42" s="3" t="n">
        <x:v>5500000</x:v>
      </x:c>
      <x:c r="F42" t="str">
        <x:v>Laki-laki</x:v>
      </x:c>
      <x:c r="G42" t="str">
        <x:v>Belum Menikah</x:v>
      </x:c>
      <x:c r="H42" s="4" t="n">
        <x:v>44695</x:v>
      </x:c>
      <x:c r="I42" t="str">
        <x:v>Kontrak</x:v>
      </x:c>
      <x:c r="J42" s="5" t="n">
        <x:v>82</x:v>
      </x:c>
    </x:row>
    <x:row r="43">
      <x:c r="A43" t="str">
        <x:v>EMP042</x:v>
      </x:c>
      <x:c r="B43" t="str">
        <x:v>Qori Santoso</x:v>
      </x:c>
      <x:c r="C43" t="str">
        <x:v>Driver</x:v>
      </x:c>
      <x:c r="D43" t="str">
        <x:v>PROJECT</x:v>
      </x:c>
      <x:c r="E43" s="3" t="n">
        <x:v>5750000</x:v>
      </x:c>
      <x:c r="F43" t="str">
        <x:v>Laki-laki</x:v>
      </x:c>
      <x:c r="G43" t="str">
        <x:v>Belum Menikah</x:v>
      </x:c>
      <x:c r="H43" s="4" t="n">
        <x:v>45092</x:v>
      </x:c>
      <x:c r="I43" t="str">
        <x:v>Aktif</x:v>
      </x:c>
      <x:c r="J43" s="5" t="n">
        <x:v>89</x:v>
      </x:c>
    </x:row>
    <x:row r="44">
      <x:c r="A44" t="str">
        <x:v>EMP043</x:v>
      </x:c>
      <x:c r="B44" t="str">
        <x:v>Rizky Santoso</x:v>
      </x:c>
      <x:c r="C44" t="str">
        <x:v>Manager HRD</x:v>
      </x:c>
      <x:c r="D44" t="str">
        <x:v>HRGA</x:v>
      </x:c>
      <x:c r="E44" s="3" t="n">
        <x:v>15500000</x:v>
      </x:c>
      <x:c r="F44" t="str">
        <x:v>Perempuan</x:v>
      </x:c>
      <x:c r="G44" t="str">
        <x:v>Menikah</x:v>
      </x:c>
      <x:c r="H44" s="4" t="n">
        <x:v>45489</x:v>
      </x:c>
      <x:c r="I44" t="str">
        <x:v>Aktif</x:v>
      </x:c>
      <x:c r="J44" s="5" t="n">
        <x:v>96</x:v>
      </x:c>
    </x:row>
    <x:row r="45">
      <x:c r="A45" t="str">
        <x:v>EMP044</x:v>
      </x:c>
      <x:c r="B45" t="str">
        <x:v>Sari Santoso</x:v>
      </x:c>
      <x:c r="C45" t="str">
        <x:v>Admin HR GA</x:v>
      </x:c>
      <x:c r="D45" t="str">
        <x:v>HRGA</x:v>
      </x:c>
      <x:c r="E45" s="3" t="n">
        <x:v>6750000</x:v>
      </x:c>
      <x:c r="F45" t="str">
        <x:v>Laki-laki</x:v>
      </x:c>
      <x:c r="G45" t="str">
        <x:v>Belum Menikah</x:v>
      </x:c>
      <x:c r="H45" s="4" t="n">
        <x:v>45886</x:v>
      </x:c>
      <x:c r="I45" t="str">
        <x:v>Aktif</x:v>
      </x:c>
      <x:c r="J45" s="5" t="n">
        <x:v>76</x:v>
      </x:c>
    </x:row>
    <x:row r="46">
      <x:c r="A46" t="str">
        <x:v>EMP045</x:v>
      </x:c>
      <x:c r="B46" t="str">
        <x:v>Taufik Santoso</x:v>
      </x:c>
      <x:c r="C46" t="str">
        <x:v>Admin HR GA</x:v>
      </x:c>
      <x:c r="D46" t="str">
        <x:v>HRGA</x:v>
      </x:c>
      <x:c r="E46" s="3" t="n">
        <x:v>6000000</x:v>
      </x:c>
      <x:c r="F46" t="str">
        <x:v>Perempuan</x:v>
      </x:c>
      <x:c r="G46" t="str">
        <x:v>Belum Menikah</x:v>
      </x:c>
      <x:c r="H46" s="4" t="n">
        <x:v>46283</x:v>
      </x:c>
      <x:c r="I46" t="str">
        <x:v>Aktif</x:v>
      </x:c>
      <x:c r="J46" s="5" t="n">
        <x:v>83</x:v>
      </x:c>
    </x:row>
    <x:row r="47">
      <x:c r="A47" t="str">
        <x:v>EMP046</x:v>
      </x:c>
      <x:c r="B47" t="str">
        <x:v>Utami Santoso</x:v>
      </x:c>
      <x:c r="C47" t="str">
        <x:v>Admin HR GA</x:v>
      </x:c>
      <x:c r="D47" t="str">
        <x:v>HRGA</x:v>
      </x:c>
      <x:c r="E47" s="3" t="n">
        <x:v>6250000</x:v>
      </x:c>
      <x:c r="F47" t="str">
        <x:v>Laki-laki</x:v>
      </x:c>
      <x:c r="G47" t="str">
        <x:v>Menikah</x:v>
      </x:c>
      <x:c r="H47" s="4" t="n">
        <x:v>43392</x:v>
      </x:c>
      <x:c r="I47" t="str">
        <x:v>Aktif</x:v>
      </x:c>
      <x:c r="J47" s="5" t="n">
        <x:v>90</x:v>
      </x:c>
    </x:row>
    <x:row r="48">
      <x:c r="A48" t="str">
        <x:v>EMP047</x:v>
      </x:c>
      <x:c r="B48" t="str">
        <x:v>Vina Santoso</x:v>
      </x:c>
      <x:c r="C48" t="str">
        <x:v>Admin HR GA</x:v>
      </x:c>
      <x:c r="D48" t="str">
        <x:v>HRGA</x:v>
      </x:c>
      <x:c r="E48" s="3" t="n">
        <x:v>6500000</x:v>
      </x:c>
      <x:c r="F48" t="str">
        <x:v>Perempuan</x:v>
      </x:c>
      <x:c r="G48" t="str">
        <x:v>Belum Menikah</x:v>
      </x:c>
      <x:c r="H48" s="4" t="n">
        <x:v>43789</x:v>
      </x:c>
      <x:c r="I48" t="str">
        <x:v>Aktif</x:v>
      </x:c>
      <x:c r="J48" s="5" t="n">
        <x:v>97</x:v>
      </x:c>
    </x:row>
    <x:row r="49">
      <x:c r="A49" t="str">
        <x:v>EMP048</x:v>
      </x:c>
      <x:c r="B49" t="str">
        <x:v>Wahyu Santoso</x:v>
      </x:c>
      <x:c r="C49" t="str">
        <x:v>Staff IT</x:v>
      </x:c>
      <x:c r="D49" t="str">
        <x:v>HRGA</x:v>
      </x:c>
      <x:c r="E49" s="3" t="n">
        <x:v>7750000</x:v>
      </x:c>
      <x:c r="F49" t="str">
        <x:v>Laki-laki</x:v>
      </x:c>
      <x:c r="G49" t="str">
        <x:v>Belum Menikah</x:v>
      </x:c>
      <x:c r="H49" s="4" t="n">
        <x:v>44186</x:v>
      </x:c>
      <x:c r="I49" t="str">
        <x:v>Aktif</x:v>
      </x:c>
      <x:c r="J49" s="5" t="n">
        <x:v>77</x:v>
      </x:c>
    </x:row>
    <x:row r="50">
      <x:c r="A50" t="str">
        <x:v>EMP049</x:v>
      </x:c>
      <x:c r="B50" t="str">
        <x:v>Yuni Santoso</x:v>
      </x:c>
      <x:c r="C50" t="str">
        <x:v>Staff IT</x:v>
      </x:c>
      <x:c r="D50" t="str">
        <x:v>HRGA</x:v>
      </x:c>
      <x:c r="E50" s="3" t="n">
        <x:v>7000000</x:v>
      </x:c>
      <x:c r="F50" t="str">
        <x:v>Laki-laki</x:v>
      </x:c>
      <x:c r="G50" t="str">
        <x:v>Menikah</x:v>
      </x:c>
      <x:c r="H50" s="4" t="n">
        <x:v>44218</x:v>
      </x:c>
      <x:c r="I50" t="str">
        <x:v>Aktif</x:v>
      </x:c>
      <x:c r="J50" s="5" t="n">
        <x:v>84</x:v>
      </x:c>
    </x:row>
    <x:row r="51">
      <x:c r="A51" t="str">
        <x:v>EMP050</x:v>
      </x:c>
      <x:c r="B51" t="str">
        <x:v>Zaki Santoso</x:v>
      </x:c>
      <x:c r="C51" t="str">
        <x:v>Staff IT</x:v>
      </x:c>
      <x:c r="D51" t="str">
        <x:v>HRGA</x:v>
      </x:c>
      <x:c r="E51" s="3" t="n">
        <x:v>7250000</x:v>
      </x:c>
      <x:c r="F51" t="str">
        <x:v>Perempuan</x:v>
      </x:c>
      <x:c r="G51" t="str">
        <x:v>Belum Menikah</x:v>
      </x:c>
      <x:c r="H51" s="4" t="n">
        <x:v>44615</x:v>
      </x:c>
      <x:c r="I51" t="str">
        <x:v>Aktif</x:v>
      </x:c>
      <x:c r="J51" s="5" t="n">
        <x:v>91</x:v>
      </x:c>
    </x:row>
    <x:row r="52">
      <x:c r="A52" t="str">
        <x:v>EMP051</x:v>
      </x:c>
      <x:c r="B52" t="str">
        <x:v>Andi Wijaya</x:v>
      </x:c>
      <x:c r="C52" t="str">
        <x:v>Cleaning Office</x:v>
      </x:c>
      <x:c r="D52" t="str">
        <x:v>HRGA</x:v>
      </x:c>
      <x:c r="E52" s="3" t="n">
        <x:v>5300000</x:v>
      </x:c>
      <x:c r="F52" t="str">
        <x:v>Laki-laki</x:v>
      </x:c>
      <x:c r="G52" t="str">
        <x:v>Belum Menikah</x:v>
      </x:c>
      <x:c r="H52" s="4" t="n">
        <x:v>45009</x:v>
      </x:c>
      <x:c r="I52" t="str">
        <x:v>Kontrak</x:v>
      </x:c>
      <x:c r="J52" s="5" t="n">
        <x:v>98</x:v>
      </x:c>
    </x:row>
    <x:row r="53">
      <x:c r="A53" t="str">
        <x:v>EMP052</x:v>
      </x:c>
      <x:c r="B53" t="str">
        <x:v>Budi Wijaya</x:v>
      </x:c>
      <x:c r="C53" t="str">
        <x:v>Cleaning Office</x:v>
      </x:c>
      <x:c r="D53" t="str">
        <x:v>HRGA</x:v>
      </x:c>
      <x:c r="E53" s="3" t="n">
        <x:v>5550000</x:v>
      </x:c>
      <x:c r="F53" t="str">
        <x:v>Laki-laki</x:v>
      </x:c>
      <x:c r="G53" t="str">
        <x:v>Menikah</x:v>
      </x:c>
      <x:c r="H53" s="4" t="n">
        <x:v>45407</x:v>
      </x:c>
      <x:c r="I53" t="str">
        <x:v>Aktif</x:v>
      </x:c>
      <x:c r="J53" s="5" t="n">
        <x:v>78</x:v>
      </x:c>
    </x:row>
    <x:row r="54">
      <x:c r="A54" t="str">
        <x:v>EMP053</x:v>
      </x:c>
      <x:c r="B54" t="str">
        <x:v>Citra Wijaya</x:v>
      </x:c>
      <x:c r="C54" t="str">
        <x:v>Cleaning Office</x:v>
      </x:c>
      <x:c r="D54" t="str">
        <x:v>HRGA</x:v>
      </x:c>
      <x:c r="E54" s="3" t="n">
        <x:v>4800000</x:v>
      </x:c>
      <x:c r="F54" t="str">
        <x:v>Laki-laki</x:v>
      </x:c>
      <x:c r="G54" t="str">
        <x:v>Belum Menikah</x:v>
      </x:c>
      <x:c r="H54" s="4" t="n">
        <x:v>45803</x:v>
      </x:c>
      <x:c r="I54" t="str">
        <x:v>Aktif</x:v>
      </x:c>
      <x:c r="J54" s="5" t="n">
        <x:v>85</x:v>
      </x:c>
    </x:row>
    <x:row r="55">
      <x:c r="A55" t="str">
        <x:v>EMP054</x:v>
      </x:c>
      <x:c r="B55" t="str">
        <x:v>Dedi Wijaya</x:v>
      </x:c>
      <x:c r="C55" t="str">
        <x:v>Cleaning Office</x:v>
      </x:c>
      <x:c r="D55" t="str">
        <x:v>HRGA</x:v>
      </x:c>
      <x:c r="E55" s="3" t="n">
        <x:v>5050000</x:v>
      </x:c>
      <x:c r="F55" t="str">
        <x:v>Laki-laki</x:v>
      </x:c>
      <x:c r="G55" t="str">
        <x:v>Belum Menikah</x:v>
      </x:c>
      <x:c r="H55" s="4" t="n">
        <x:v>46200</x:v>
      </x:c>
      <x:c r="I55" t="str">
        <x:v>Aktif</x:v>
      </x:c>
      <x:c r="J55" s="5" t="n">
        <x:v>92</x:v>
      </x:c>
    </x:row>
    <x:row r="56">
      <x:c r="A56" t="str">
        <x:v>EMP055</x:v>
      </x:c>
      <x:c r="B56" t="str">
        <x:v>Eka Wijaya</x:v>
      </x:c>
      <x:c r="C56" t="str">
        <x:v>Cleaning Office</x:v>
      </x:c>
      <x:c r="D56" t="str">
        <x:v>HRGA</x:v>
      </x:c>
      <x:c r="E56" s="3" t="n">
        <x:v>5300000</x:v>
      </x:c>
      <x:c r="F56" t="str">
        <x:v>Laki-laki</x:v>
      </x:c>
      <x:c r="G56" t="str">
        <x:v>Menikah</x:v>
      </x:c>
      <x:c r="H56" s="4" t="n">
        <x:v>43282</x:v>
      </x:c>
      <x:c r="I56" t="str">
        <x:v>Aktif</x:v>
      </x:c>
      <x:c r="J56" s="5" t="n">
        <x:v>72</x:v>
      </x:c>
    </x:row>
    <x:row r="57">
      <x:c r="A57" t="str">
        <x:v>EMP056</x:v>
      </x:c>
      <x:c r="B57" t="str">
        <x:v>Fajar Wijaya</x:v>
      </x:c>
      <x:c r="C57" t="str">
        <x:v>Cleaning Office</x:v>
      </x:c>
      <x:c r="D57" t="str">
        <x:v>HRGA</x:v>
      </x:c>
      <x:c r="E57" s="3" t="n">
        <x:v>5550000</x:v>
      </x:c>
      <x:c r="F57" t="str">
        <x:v>Laki-laki</x:v>
      </x:c>
      <x:c r="G57" t="str">
        <x:v>Belum Menikah</x:v>
      </x:c>
      <x:c r="H57" s="4" t="n">
        <x:v>43679</x:v>
      </x:c>
      <x:c r="I57" t="str">
        <x:v>Aktif</x:v>
      </x:c>
      <x:c r="J57" s="5" t="n">
        <x:v>79</x:v>
      </x:c>
    </x:row>
    <x:row r="58">
      <x:c r="A58" t="str">
        <x:v>EMP057</x:v>
      </x:c>
      <x:c r="B58" t="str">
        <x:v>Gita Wijaya</x:v>
      </x:c>
      <x:c r="C58" t="str">
        <x:v>Cleaning Office</x:v>
      </x:c>
      <x:c r="D58" t="str">
        <x:v>HRGA</x:v>
      </x:c>
      <x:c r="E58" s="3" t="n">
        <x:v>4800000</x:v>
      </x:c>
      <x:c r="F58" t="str">
        <x:v>Perempuan</x:v>
      </x:c>
      <x:c r="G58" t="str">
        <x:v>Belum Menikah</x:v>
      </x:c>
      <x:c r="H58" s="4" t="n">
        <x:v>44077</x:v>
      </x:c>
      <x:c r="I58" t="str">
        <x:v>Aktif</x:v>
      </x:c>
      <x:c r="J58" s="5" t="n">
        <x:v>86</x:v>
      </x:c>
    </x:row>
    <x:row r="59">
      <x:c r="A59" t="str">
        <x:v>EMP058</x:v>
      </x:c>
      <x:c r="B59" t="str">
        <x:v>Hendra Wijaya</x:v>
      </x:c>
      <x:c r="C59" t="str">
        <x:v>Cleaning Office</x:v>
      </x:c>
      <x:c r="D59" t="str">
        <x:v>HRGA</x:v>
      </x:c>
      <x:c r="E59" s="3" t="n">
        <x:v>5050000</x:v>
      </x:c>
      <x:c r="F59" t="str">
        <x:v>Laki-laki</x:v>
      </x:c>
      <x:c r="G59" t="str">
        <x:v>Menikah</x:v>
      </x:c>
      <x:c r="H59" s="4" t="n">
        <x:v>44473</x:v>
      </x:c>
      <x:c r="I59" t="str">
        <x:v>Aktif</x:v>
      </x:c>
      <x:c r="J59" s="5" t="n">
        <x:v>93</x:v>
      </x:c>
    </x:row>
    <x:row r="60">
      <x:c r="A60" t="str">
        <x:v>EMP059</x:v>
      </x:c>
      <x:c r="B60" t="str">
        <x:v>Indah Wijaya</x:v>
      </x:c>
      <x:c r="C60" t="str">
        <x:v>Security</x:v>
      </x:c>
      <x:c r="D60" t="str">
        <x:v>HRGA</x:v>
      </x:c>
      <x:c r="E60" s="3" t="n">
        <x:v>6000000</x:v>
      </x:c>
      <x:c r="F60" t="str">
        <x:v>Laki-laki</x:v>
      </x:c>
      <x:c r="G60" t="str">
        <x:v>Belum Menikah</x:v>
      </x:c>
      <x:c r="H60" s="4" t="n">
        <x:v>44870</x:v>
      </x:c>
      <x:c r="I60" t="str">
        <x:v>Aktif</x:v>
      </x:c>
      <x:c r="J60" s="5" t="n">
        <x:v>73</x:v>
      </x:c>
    </x:row>
    <x:row r="61">
      <x:c r="A61" t="str">
        <x:v>EMP060</x:v>
      </x:c>
      <x:c r="B61" t="str">
        <x:v>Joko Wijaya</x:v>
      </x:c>
      <x:c r="C61" t="str">
        <x:v>Security</x:v>
      </x:c>
      <x:c r="D61" t="str">
        <x:v>HRGA</x:v>
      </x:c>
      <x:c r="E61" s="3" t="n">
        <x:v>6250000</x:v>
      </x:c>
      <x:c r="F61" t="str">
        <x:v>Laki-laki</x:v>
      </x:c>
      <x:c r="G61" t="str">
        <x:v>Belum Menikah</x:v>
      </x:c>
      <x:c r="H61" s="4" t="n">
        <x:v>45266</x:v>
      </x:c>
      <x:c r="I61" t="str">
        <x:v>Aktif</x:v>
      </x:c>
      <x:c r="J61" s="5" t="n">
        <x:v>80</x:v>
      </x:c>
    </x:row>
    <x:row r="62">
      <x:c r="A62" t="str">
        <x:v>EMP061</x:v>
      </x:c>
      <x:c r="B62" t="str">
        <x:v>Kartika Wijaya</x:v>
      </x:c>
      <x:c r="C62" t="str">
        <x:v>Security</x:v>
      </x:c>
      <x:c r="D62" t="str">
        <x:v>HRGA</x:v>
      </x:c>
      <x:c r="E62" s="3" t="n">
        <x:v>5500000</x:v>
      </x:c>
      <x:c r="F62" t="str">
        <x:v>Laki-laki</x:v>
      </x:c>
      <x:c r="G62" t="str">
        <x:v>Menikah</x:v>
      </x:c>
      <x:c r="H62" s="4" t="n">
        <x:v>45298</x:v>
      </x:c>
      <x:c r="I62" t="str">
        <x:v>Kontrak</x:v>
      </x:c>
      <x:c r="J62" s="5" t="n">
        <x:v>87</x:v>
      </x:c>
    </x:row>
    <x:row r="63">
      <x:c r="A63" t="str">
        <x:v>EMP062</x:v>
      </x:c>
      <x:c r="B63" t="str">
        <x:v>Lukman Wijaya</x:v>
      </x:c>
      <x:c r="C63" t="str">
        <x:v>Security</x:v>
      </x:c>
      <x:c r="D63" t="str">
        <x:v>HRGA</x:v>
      </x:c>
      <x:c r="E63" s="3" t="n">
        <x:v>5750000</x:v>
      </x:c>
      <x:c r="F63" t="str">
        <x:v>Laki-laki</x:v>
      </x:c>
      <x:c r="G63" t="str">
        <x:v>Belum Menikah</x:v>
      </x:c>
      <x:c r="H63" s="4" t="n">
        <x:v>45696</x:v>
      </x:c>
      <x:c r="I63" t="str">
        <x:v>Aktif</x:v>
      </x:c>
      <x:c r="J63" s="5" t="n">
        <x:v>94</x:v>
      </x:c>
    </x:row>
    <x:row r="64">
      <x:c r="A64" t="str">
        <x:v>EMP063</x:v>
      </x:c>
      <x:c r="B64" t="str">
        <x:v>Maya Wijaya</x:v>
      </x:c>
      <x:c r="C64" t="str">
        <x:v>Security</x:v>
      </x:c>
      <x:c r="D64" t="str">
        <x:v>HRGA</x:v>
      </x:c>
      <x:c r="E64" s="3" t="n">
        <x:v>6000000</x:v>
      </x:c>
      <x:c r="F64" t="str">
        <x:v>Laki-laki</x:v>
      </x:c>
      <x:c r="G64" t="str">
        <x:v>Belum Menikah</x:v>
      </x:c>
      <x:c r="H64" s="4" t="n">
        <x:v>46090</x:v>
      </x:c>
      <x:c r="I64" t="str">
        <x:v>Aktif</x:v>
      </x:c>
      <x:c r="J64" s="5" t="n">
        <x:v>74</x:v>
      </x:c>
    </x:row>
    <x:row r="65">
      <x:c r="A65" t="str">
        <x:v>EMP064</x:v>
      </x:c>
      <x:c r="B65" t="str">
        <x:v>Naufal Wijaya</x:v>
      </x:c>
      <x:c r="C65" t="str">
        <x:v>Security</x:v>
      </x:c>
      <x:c r="D65" t="str">
        <x:v>HRGA</x:v>
      </x:c>
      <x:c r="E65" s="3" t="n">
        <x:v>6250000</x:v>
      </x:c>
      <x:c r="F65" t="str">
        <x:v>Perempuan</x:v>
      </x:c>
      <x:c r="G65" t="str">
        <x:v>Menikah</x:v>
      </x:c>
      <x:c r="H65" s="4" t="n">
        <x:v>43200</x:v>
      </x:c>
      <x:c r="I65" t="str">
        <x:v>Aktif</x:v>
      </x:c>
      <x:c r="J65" s="5" t="n">
        <x:v>81</x:v>
      </x:c>
    </x:row>
    <x:row r="66">
      <x:c r="A66" t="str">
        <x:v>EMP065</x:v>
      </x:c>
      <x:c r="B66" t="str">
        <x:v>Oktavia Wijaya</x:v>
      </x:c>
      <x:c r="C66" t="str">
        <x:v>Security</x:v>
      </x:c>
      <x:c r="D66" t="str">
        <x:v>HRGA</x:v>
      </x:c>
      <x:c r="E66" s="3" t="n">
        <x:v>5500000</x:v>
      </x:c>
      <x:c r="F66" t="str">
        <x:v>Laki-laki</x:v>
      </x:c>
      <x:c r="G66" t="str">
        <x:v>Belum Menikah</x:v>
      </x:c>
      <x:c r="H66" s="4" t="n">
        <x:v>43596</x:v>
      </x:c>
      <x:c r="I66" t="str">
        <x:v>Aktif</x:v>
      </x:c>
      <x:c r="J66" s="5" t="n">
        <x:v>88</x:v>
      </x:c>
    </x:row>
    <x:row r="67">
      <x:c r="A67" t="str">
        <x:v>EMP066</x:v>
      </x:c>
      <x:c r="B67" t="str">
        <x:v>Putra Wijaya</x:v>
      </x:c>
      <x:c r="C67" t="str">
        <x:v>Security</x:v>
      </x:c>
      <x:c r="D67" t="str">
        <x:v>HRGA</x:v>
      </x:c>
      <x:c r="E67" s="3" t="n">
        <x:v>5750000</x:v>
      </x:c>
      <x:c r="F67" t="str">
        <x:v>Laki-laki</x:v>
      </x:c>
      <x:c r="G67" t="str">
        <x:v>Belum Menikah</x:v>
      </x:c>
      <x:c r="H67" s="4" t="n">
        <x:v>43994</x:v>
      </x:c>
      <x:c r="I67" t="str">
        <x:v>Aktif</x:v>
      </x:c>
      <x:c r="J67" s="5" t="n">
        <x:v>95</x:v>
      </x:c>
    </x:row>
    <x:row r="68">
      <x:c r="A68" t="str">
        <x:v>EMP067</x:v>
      </x:c>
      <x:c r="B68" t="str">
        <x:v>Qori Wijaya</x:v>
      </x:c>
      <x:c r="C68" t="str">
        <x:v>Security</x:v>
      </x:c>
      <x:c r="D68" t="str">
        <x:v>HRGA</x:v>
      </x:c>
      <x:c r="E68" s="3" t="n">
        <x:v>6000000</x:v>
      </x:c>
      <x:c r="F68" t="str">
        <x:v>Laki-laki</x:v>
      </x:c>
      <x:c r="G68" t="str">
        <x:v>Menikah</x:v>
      </x:c>
      <x:c r="H68" s="4" t="n">
        <x:v>44390</x:v>
      </x:c>
      <x:c r="I68" t="str">
        <x:v>Aktif</x:v>
      </x:c>
      <x:c r="J68" s="5" t="n">
        <x:v>75</x:v>
      </x:c>
    </x:row>
    <x:row r="69">
      <x:c r="A69" t="str">
        <x:v>EMP068</x:v>
      </x:c>
      <x:c r="B69" t="str">
        <x:v>Rizky Wijaya</x:v>
      </x:c>
      <x:c r="C69" t="str">
        <x:v>Security</x:v>
      </x:c>
      <x:c r="D69" t="str">
        <x:v>HRGA</x:v>
      </x:c>
      <x:c r="E69" s="3" t="n">
        <x:v>6250000</x:v>
      </x:c>
      <x:c r="F69" t="str">
        <x:v>Laki-laki</x:v>
      </x:c>
      <x:c r="G69" t="str">
        <x:v>Belum Menikah</x:v>
      </x:c>
      <x:c r="H69" s="4" t="n">
        <x:v>44787</x:v>
      </x:c>
      <x:c r="I69" t="str">
        <x:v>Aktif</x:v>
      </x:c>
      <x:c r="J69" s="5" t="n">
        <x:v>82</x:v>
      </x:c>
    </x:row>
    <x:row r="70">
      <x:c r="A70" t="str">
        <x:v>EMP069</x:v>
      </x:c>
      <x:c r="B70" t="str">
        <x:v>Sari Wijaya</x:v>
      </x:c>
      <x:c r="C70" t="str">
        <x:v>OB NPA</x:v>
      </x:c>
      <x:c r="D70" t="str">
        <x:v>HRGA</x:v>
      </x:c>
      <x:c r="E70" s="3" t="n">
        <x:v>4800000</x:v>
      </x:c>
      <x:c r="F70" t="str">
        <x:v>Laki-laki</x:v>
      </x:c>
      <x:c r="G70" t="str">
        <x:v>Belum Menikah</x:v>
      </x:c>
      <x:c r="H70" s="4" t="n">
        <x:v>45184</x:v>
      </x:c>
      <x:c r="I70" t="str">
        <x:v>Aktif</x:v>
      </x:c>
      <x:c r="J70" s="5" t="n">
        <x:v>89</x:v>
      </x:c>
    </x:row>
    <x:row r="71">
      <x:c r="A71" t="str">
        <x:v>EMP070</x:v>
      </x:c>
      <x:c r="B71" t="str">
        <x:v>Taufik Wijaya</x:v>
      </x:c>
      <x:c r="C71" t="str">
        <x:v>OB NPA</x:v>
      </x:c>
      <x:c r="D71" t="str">
        <x:v>HRGA</x:v>
      </x:c>
      <x:c r="E71" s="3" t="n">
        <x:v>5050000</x:v>
      </x:c>
      <x:c r="F71" t="str">
        <x:v>Laki-laki</x:v>
      </x:c>
      <x:c r="G71" t="str">
        <x:v>Menikah</x:v>
      </x:c>
      <x:c r="H71" s="4" t="n">
        <x:v>45581</x:v>
      </x:c>
      <x:c r="I71" t="str">
        <x:v>Aktif</x:v>
      </x:c>
      <x:c r="J71" s="5" t="n">
        <x:v>96</x:v>
      </x:c>
    </x:row>
    <x:row r="72">
      <x:c r="A72" t="str">
        <x:v>EMP071</x:v>
      </x:c>
      <x:c r="B72" t="str">
        <x:v>Utami Wijaya</x:v>
      </x:c>
      <x:c r="C72" t="str">
        <x:v>OB NPA</x:v>
      </x:c>
      <x:c r="D72" t="str">
        <x:v>HRGA</x:v>
      </x:c>
      <x:c r="E72" s="3" t="n">
        <x:v>5300000</x:v>
      </x:c>
      <x:c r="F72" t="str">
        <x:v>Perempuan</x:v>
      </x:c>
      <x:c r="G72" t="str">
        <x:v>Belum Menikah</x:v>
      </x:c>
      <x:c r="H72" s="4" t="n">
        <x:v>45978</x:v>
      </x:c>
      <x:c r="I72" t="str">
        <x:v>Kontrak</x:v>
      </x:c>
      <x:c r="J72" s="5" t="n">
        <x:v>76</x:v>
      </x:c>
    </x:row>
    <x:row r="73">
      <x:c r="A73" t="str">
        <x:v>EMP072</x:v>
      </x:c>
      <x:c r="B73" t="str">
        <x:v>Vina Wijaya</x:v>
      </x:c>
      <x:c r="C73" t="str">
        <x:v>OB NPA</x:v>
      </x:c>
      <x:c r="D73" t="str">
        <x:v>HRGA</x:v>
      </x:c>
      <x:c r="E73" s="3" t="n">
        <x:v>5550000</x:v>
      </x:c>
      <x:c r="F73" t="str">
        <x:v>Laki-laki</x:v>
      </x:c>
      <x:c r="G73" t="str">
        <x:v>Belum Menikah</x:v>
      </x:c>
      <x:c r="H73" s="4" t="n">
        <x:v>46374</x:v>
      </x:c>
      <x:c r="I73" t="str">
        <x:v>Aktif</x:v>
      </x:c>
      <x:c r="J73" s="5" t="n">
        <x:v>83</x:v>
      </x:c>
    </x:row>
    <x:row r="74">
      <x:c r="A74" t="str">
        <x:v>EMP073</x:v>
      </x:c>
      <x:c r="B74" t="str">
        <x:v>Wahyu Wijaya</x:v>
      </x:c>
      <x:c r="C74" t="str">
        <x:v>OB NPA</x:v>
      </x:c>
      <x:c r="D74" t="str">
        <x:v>HRGA</x:v>
      </x:c>
      <x:c r="E74" s="3" t="n">
        <x:v>4800000</x:v>
      </x:c>
      <x:c r="F74" t="str">
        <x:v>Laki-laki</x:v>
      </x:c>
      <x:c r="G74" t="str">
        <x:v>Menikah</x:v>
      </x:c>
      <x:c r="H74" s="4" t="n">
        <x:v>43119</x:v>
      </x:c>
      <x:c r="I74" t="str">
        <x:v>Aktif</x:v>
      </x:c>
      <x:c r="J74" s="5" t="n">
        <x:v>90</x:v>
      </x:c>
    </x:row>
    <x:row r="75">
      <x:c r="A75" t="str">
        <x:v>EMP074</x:v>
      </x:c>
      <x:c r="B75" t="str">
        <x:v>Yuni Wijaya</x:v>
      </x:c>
      <x:c r="C75" t="str">
        <x:v>Leader Housekeeping</x:v>
      </x:c>
      <x:c r="D75" t="str">
        <x:v>HRGA</x:v>
      </x:c>
      <x:c r="E75" s="3" t="n">
        <x:v>8250000</x:v>
      </x:c>
      <x:c r="F75" t="str">
        <x:v>Laki-laki</x:v>
      </x:c>
      <x:c r="G75" t="str">
        <x:v>Belum Menikah</x:v>
      </x:c>
      <x:c r="H75" s="4" t="n">
        <x:v>43516</x:v>
      </x:c>
      <x:c r="I75" t="str">
        <x:v>Aktif</x:v>
      </x:c>
      <x:c r="J75" s="5" t="n">
        <x:v>97</x:v>
      </x:c>
    </x:row>
    <x:row r="76">
      <x:c r="A76" t="str">
        <x:v>EMP075</x:v>
      </x:c>
      <x:c r="B76" t="str">
        <x:v>Zaki Wijaya</x:v>
      </x:c>
      <x:c r="C76" t="str">
        <x:v>Leader Housekeeping</x:v>
      </x:c>
      <x:c r="D76" t="str">
        <x:v>HRGA</x:v>
      </x:c>
      <x:c r="E76" s="3" t="n">
        <x:v>8500000</x:v>
      </x:c>
      <x:c r="F76" t="str">
        <x:v>Laki-laki</x:v>
      </x:c>
      <x:c r="G76" t="str">
        <x:v>Belum Menikah</x:v>
      </x:c>
      <x:c r="H76" s="4" t="n">
        <x:v>43911</x:v>
      </x:c>
      <x:c r="I76" t="str">
        <x:v>Aktif</x:v>
      </x:c>
      <x:c r="J76" s="5" t="n">
        <x:v>77</x:v>
      </x:c>
    </x:row>
    <x:row r="77">
      <x:c r="A77" t="str">
        <x:v>EMP076</x:v>
      </x:c>
      <x:c r="B77" t="str">
        <x:v>Andi Lestari</x:v>
      </x:c>
      <x:c r="C77" t="str">
        <x:v>Helper Housekeeping</x:v>
      </x:c>
      <x:c r="D77" t="str">
        <x:v>HRGA</x:v>
      </x:c>
      <x:c r="E77" s="3" t="n">
        <x:v>5550000</x:v>
      </x:c>
      <x:c r="F77" t="str">
        <x:v>Laki-laki</x:v>
      </x:c>
      <x:c r="G77" t="str">
        <x:v>Menikah</x:v>
      </x:c>
      <x:c r="H77" s="4" t="n">
        <x:v>44308</x:v>
      </x:c>
      <x:c r="I77" t="str">
        <x:v>Aktif</x:v>
      </x:c>
      <x:c r="J77" s="5" t="n">
        <x:v>84</x:v>
      </x:c>
    </x:row>
    <x:row r="78">
      <x:c r="A78" t="str">
        <x:v>EMP077</x:v>
      </x:c>
      <x:c r="B78" t="str">
        <x:v>Budi Lestari</x:v>
      </x:c>
      <x:c r="C78" t="str">
        <x:v>Helper Housekeeping</x:v>
      </x:c>
      <x:c r="D78" t="str">
        <x:v>HRGA</x:v>
      </x:c>
      <x:c r="E78" s="3" t="n">
        <x:v>4800000</x:v>
      </x:c>
      <x:c r="F78" t="str">
        <x:v>Laki-laki</x:v>
      </x:c>
      <x:c r="G78" t="str">
        <x:v>Belum Menikah</x:v>
      </x:c>
      <x:c r="H78" s="4" t="n">
        <x:v>44704</x:v>
      </x:c>
      <x:c r="I78" t="str">
        <x:v>Aktif</x:v>
      </x:c>
      <x:c r="J78" s="5" t="n">
        <x:v>91</x:v>
      </x:c>
    </x:row>
    <x:row r="79">
      <x:c r="A79" t="str">
        <x:v>EMP078</x:v>
      </x:c>
      <x:c r="B79" t="str">
        <x:v>Citra Lestari</x:v>
      </x:c>
      <x:c r="C79" t="str">
        <x:v>Helper Housekeeping</x:v>
      </x:c>
      <x:c r="D79" t="str">
        <x:v>HRGA</x:v>
      </x:c>
      <x:c r="E79" s="3" t="n">
        <x:v>5050000</x:v>
      </x:c>
      <x:c r="F79" t="str">
        <x:v>Perempuan</x:v>
      </x:c>
      <x:c r="G79" t="str">
        <x:v>Belum Menikah</x:v>
      </x:c>
      <x:c r="H79" s="4" t="n">
        <x:v>45101</x:v>
      </x:c>
      <x:c r="I79" t="str">
        <x:v>Aktif</x:v>
      </x:c>
      <x:c r="J79" s="5" t="n">
        <x:v>98</x:v>
      </x:c>
    </x:row>
    <x:row r="80">
      <x:c r="A80" t="str">
        <x:v>EMP079</x:v>
      </x:c>
      <x:c r="B80" t="str">
        <x:v>Dedi Lestari</x:v>
      </x:c>
      <x:c r="C80" t="str">
        <x:v>Helper Housekeeping</x:v>
      </x:c>
      <x:c r="D80" t="str">
        <x:v>HRGA</x:v>
      </x:c>
      <x:c r="E80" s="3" t="n">
        <x:v>5300000</x:v>
      </x:c>
      <x:c r="F80" t="str">
        <x:v>Laki-laki</x:v>
      </x:c>
      <x:c r="G80" t="str">
        <x:v>Menikah</x:v>
      </x:c>
      <x:c r="H80" s="4" t="n">
        <x:v>45498</x:v>
      </x:c>
      <x:c r="I80" t="str">
        <x:v>Aktif</x:v>
      </x:c>
      <x:c r="J80" s="5" t="n">
        <x:v>78</x:v>
      </x:c>
    </x:row>
    <x:row r="81">
      <x:c r="A81" t="str">
        <x:v>EMP080</x:v>
      </x:c>
      <x:c r="B81" t="str">
        <x:v>Eka Lestari</x:v>
      </x:c>
      <x:c r="C81" t="str">
        <x:v>Helper Housekeeping</x:v>
      </x:c>
      <x:c r="D81" t="str">
        <x:v>HRGA</x:v>
      </x:c>
      <x:c r="E81" s="3" t="n">
        <x:v>5550000</x:v>
      </x:c>
      <x:c r="F81" t="str">
        <x:v>Laki-laki</x:v>
      </x:c>
      <x:c r="G81" t="str">
        <x:v>Belum Menikah</x:v>
      </x:c>
      <x:c r="H81" s="4" t="n">
        <x:v>45895</x:v>
      </x:c>
      <x:c r="I81" t="str">
        <x:v>Aktif</x:v>
      </x:c>
      <x:c r="J81" s="5" t="n">
        <x:v>85</x:v>
      </x:c>
    </x:row>
    <x:row r="82">
      <x:c r="A82" t="str">
        <x:v>EMP081</x:v>
      </x:c>
      <x:c r="B82" t="str">
        <x:v>Fajar Lestari</x:v>
      </x:c>
      <x:c r="C82" t="str">
        <x:v>Admin Ops</x:v>
      </x:c>
      <x:c r="D82" t="str">
        <x:v>OPERATIONAL &amp; COMMERCIAL</x:v>
      </x:c>
      <x:c r="E82" s="3" t="n">
        <x:v>6000000</x:v>
      </x:c>
      <x:c r="F82" t="str">
        <x:v>Perempuan</x:v>
      </x:c>
      <x:c r="G82" t="str">
        <x:v>Belum Menikah</x:v>
      </x:c>
      <x:c r="H82" s="4" t="n">
        <x:v>46292</x:v>
      </x:c>
      <x:c r="I82" t="str">
        <x:v>Kontrak</x:v>
      </x:c>
      <x:c r="J82" s="5" t="n">
        <x:v>92</x:v>
      </x:c>
    </x:row>
    <x:row r="83">
      <x:c r="A83" t="str">
        <x:v>EMP082</x:v>
      </x:c>
      <x:c r="B83" t="str">
        <x:v>Gita Lestari</x:v>
      </x:c>
      <x:c r="C83" t="str">
        <x:v>Admin Ops</x:v>
      </x:c>
      <x:c r="D83" t="str">
        <x:v>OPERATIONAL &amp; COMMERCIAL</x:v>
      </x:c>
      <x:c r="E83" s="3" t="n">
        <x:v>6250000</x:v>
      </x:c>
      <x:c r="F83" t="str">
        <x:v>Laki-laki</x:v>
      </x:c>
      <x:c r="G83" t="str">
        <x:v>Menikah</x:v>
      </x:c>
      <x:c r="H83" s="4" t="n">
        <x:v>43374</x:v>
      </x:c>
      <x:c r="I83" t="str">
        <x:v>Aktif</x:v>
      </x:c>
      <x:c r="J83" s="5" t="n">
        <x:v>72</x:v>
      </x:c>
    </x:row>
    <x:row r="84">
      <x:c r="A84" t="str">
        <x:v>EMP083</x:v>
      </x:c>
      <x:c r="B84" t="str">
        <x:v>Hendra Lestari</x:v>
      </x:c>
      <x:c r="C84" t="str">
        <x:v>Admin Ops</x:v>
      </x:c>
      <x:c r="D84" t="str">
        <x:v>OPERATIONAL &amp; COMMERCIAL</x:v>
      </x:c>
      <x:c r="E84" s="3" t="n">
        <x:v>6500000</x:v>
      </x:c>
      <x:c r="F84" t="str">
        <x:v>Perempuan</x:v>
      </x:c>
      <x:c r="G84" t="str">
        <x:v>Belum Menikah</x:v>
      </x:c>
      <x:c r="H84" s="4" t="n">
        <x:v>43771</x:v>
      </x:c>
      <x:c r="I84" t="str">
        <x:v>Aktif</x:v>
      </x:c>
      <x:c r="J84" s="5" t="n">
        <x:v>79</x:v>
      </x:c>
    </x:row>
    <x:row r="85">
      <x:c r="A85" t="str">
        <x:v>EMP084</x:v>
      </x:c>
      <x:c r="B85" t="str">
        <x:v>Indah Lestari</x:v>
      </x:c>
      <x:c r="C85" t="str">
        <x:v>Admin Ops</x:v>
      </x:c>
      <x:c r="D85" t="str">
        <x:v>OPERATIONAL &amp; COMMERCIAL</x:v>
      </x:c>
      <x:c r="E85" s="3" t="n">
        <x:v>6750000</x:v>
      </x:c>
      <x:c r="F85" t="str">
        <x:v>Laki-laki</x:v>
      </x:c>
      <x:c r="G85" t="str">
        <x:v>Belum Menikah</x:v>
      </x:c>
      <x:c r="H85" s="4" t="n">
        <x:v>44168</x:v>
      </x:c>
      <x:c r="I85" t="str">
        <x:v>Aktif</x:v>
      </x:c>
      <x:c r="J85" s="5" t="n">
        <x:v>86</x:v>
      </x:c>
    </x:row>
    <x:row r="86">
      <x:c r="A86" t="str">
        <x:v>EMP085</x:v>
      </x:c>
      <x:c r="B86" t="str">
        <x:v>Joko Lestari</x:v>
      </x:c>
      <x:c r="C86" t="str">
        <x:v>Koordinator AYM FGD FABA</x:v>
      </x:c>
      <x:c r="D86" t="str">
        <x:v>OPERATIONAL &amp; COMMERCIAL</x:v>
      </x:c>
      <x:c r="E86" s="3" t="n">
        <x:v>9500000</x:v>
      </x:c>
      <x:c r="F86" t="str">
        <x:v>Perempuan</x:v>
      </x:c>
      <x:c r="G86" t="str">
        <x:v>Menikah</x:v>
      </x:c>
      <x:c r="H86" s="4" t="n">
        <x:v>44200</x:v>
      </x:c>
      <x:c r="I86" t="str">
        <x:v>Aktif</x:v>
      </x:c>
      <x:c r="J86" s="5" t="n">
        <x:v>93</x:v>
      </x:c>
    </x:row>
    <x:row r="87">
      <x:c r="A87" t="str">
        <x:v>EMP086</x:v>
      </x:c>
      <x:c r="B87" t="str">
        <x:v>Kartika Lestari</x:v>
      </x:c>
      <x:c r="C87" t="str">
        <x:v>Koordinator AYM FGD FABA</x:v>
      </x:c>
      <x:c r="D87" t="str">
        <x:v>OPERATIONAL &amp; COMMERCIAL</x:v>
      </x:c>
      <x:c r="E87" s="3" t="n">
        <x:v>9750000</x:v>
      </x:c>
      <x:c r="F87" t="str">
        <x:v>Laki-laki</x:v>
      </x:c>
      <x:c r="G87" t="str">
        <x:v>Belum Menikah</x:v>
      </x:c>
      <x:c r="H87" s="4" t="n">
        <x:v>44597</x:v>
      </x:c>
      <x:c r="I87" t="str">
        <x:v>Aktif</x:v>
      </x:c>
      <x:c r="J87" s="5" t="n">
        <x:v>73</x:v>
      </x:c>
    </x:row>
    <x:row r="88">
      <x:c r="A88" t="str">
        <x:v>EMP087</x:v>
      </x:c>
      <x:c r="B88" t="str">
        <x:v>Lukman Lestari</x:v>
      </x:c>
      <x:c r="C88" t="str">
        <x:v>Admin AYM</x:v>
      </x:c>
      <x:c r="D88" t="str">
        <x:v>OPERATIONAL &amp; COMMERCIAL</x:v>
      </x:c>
      <x:c r="E88" s="3" t="n">
        <x:v>6500000</x:v>
      </x:c>
      <x:c r="F88" t="str">
        <x:v>Perempuan</x:v>
      </x:c>
      <x:c r="G88" t="str">
        <x:v>Belum Menikah</x:v>
      </x:c>
      <x:c r="H88" s="4" t="n">
        <x:v>44991</x:v>
      </x:c>
      <x:c r="I88" t="str">
        <x:v>Aktif</x:v>
      </x:c>
      <x:c r="J88" s="5" t="n">
        <x:v>80</x:v>
      </x:c>
    </x:row>
    <x:row r="89">
      <x:c r="A89" t="str">
        <x:v>EMP088</x:v>
      </x:c>
      <x:c r="B89" t="str">
        <x:v>Maya Lestari</x:v>
      </x:c>
      <x:c r="C89" t="str">
        <x:v>Admin AYM</x:v>
      </x:c>
      <x:c r="D89" t="str">
        <x:v>OPERATIONAL &amp; COMMERCIAL</x:v>
      </x:c>
      <x:c r="E89" s="3" t="n">
        <x:v>6750000</x:v>
      </x:c>
      <x:c r="F89" t="str">
        <x:v>Laki-laki</x:v>
      </x:c>
      <x:c r="G89" t="str">
        <x:v>Menikah</x:v>
      </x:c>
      <x:c r="H89" s="4" t="n">
        <x:v>45389</x:v>
      </x:c>
      <x:c r="I89" t="str">
        <x:v>Aktif</x:v>
      </x:c>
      <x:c r="J89" s="5" t="n">
        <x:v>87</x:v>
      </x:c>
    </x:row>
    <x:row r="90">
      <x:c r="A90" t="str">
        <x:v>EMP089</x:v>
      </x:c>
      <x:c r="B90" t="str">
        <x:v>Naufal Lestari</x:v>
      </x:c>
      <x:c r="C90" t="str">
        <x:v>Admin Pemanfaatan FABA</x:v>
      </x:c>
      <x:c r="D90" t="str">
        <x:v>OPERATIONAL &amp; COMMERCIAL</x:v>
      </x:c>
      <x:c r="E90" s="3" t="n">
        <x:v>6000000</x:v>
      </x:c>
      <x:c r="F90" t="str">
        <x:v>Perempuan</x:v>
      </x:c>
      <x:c r="G90" t="str">
        <x:v>Belum Menikah</x:v>
      </x:c>
      <x:c r="H90" s="4" t="n">
        <x:v>45785</x:v>
      </x:c>
      <x:c r="I90" t="str">
        <x:v>Aktif</x:v>
      </x:c>
      <x:c r="J90" s="5" t="n">
        <x:v>94</x:v>
      </x:c>
    </x:row>
    <x:row r="91">
      <x:c r="A91" t="str">
        <x:v>EMP090</x:v>
      </x:c>
      <x:c r="B91" t="str">
        <x:v>Oktavia Lestari</x:v>
      </x:c>
      <x:c r="C91" t="str">
        <x:v>Admin Pemanfaatan FABA</x:v>
      </x:c>
      <x:c r="D91" t="str">
        <x:v>OPERATIONAL &amp; COMMERCIAL</x:v>
      </x:c>
      <x:c r="E91" s="3" t="n">
        <x:v>6250000</x:v>
      </x:c>
      <x:c r="F91" t="str">
        <x:v>Laki-laki</x:v>
      </x:c>
      <x:c r="G91" t="str">
        <x:v>Belum Menikah</x:v>
      </x:c>
      <x:c r="H91" s="4" t="n">
        <x:v>46182</x:v>
      </x:c>
      <x:c r="I91" t="str">
        <x:v>Aktif</x:v>
      </x:c>
      <x:c r="J91" s="5" t="n">
        <x:v>74</x:v>
      </x:c>
    </x:row>
    <x:row r="92">
      <x:c r="A92" t="str">
        <x:v>EMP091</x:v>
      </x:c>
      <x:c r="B92" t="str">
        <x:v>Putra Lestari</x:v>
      </x:c>
      <x:c r="C92" t="str">
        <x:v>PIC MG JT Roadsweeper</x:v>
      </x:c>
      <x:c r="D92" t="str">
        <x:v>OPERATIONAL &amp; COMMERCIAL</x:v>
      </x:c>
      <x:c r="E92" s="3" t="n">
        <x:v>8500000</x:v>
      </x:c>
      <x:c r="F92" t="str">
        <x:v>Laki-laki</x:v>
      </x:c>
      <x:c r="G92" t="str">
        <x:v>Menikah</x:v>
      </x:c>
      <x:c r="H92" s="4" t="n">
        <x:v>43291</x:v>
      </x:c>
      <x:c r="I92" t="str">
        <x:v>Kontrak</x:v>
      </x:c>
      <x:c r="J92" s="5" t="n">
        <x:v>81</x:v>
      </x:c>
    </x:row>
    <x:row r="93">
      <x:c r="A93" t="str">
        <x:v>EMP092</x:v>
      </x:c>
      <x:c r="B93" t="str">
        <x:v>Qori Lestari</x:v>
      </x:c>
      <x:c r="C93" t="str">
        <x:v>PIC FGD FABA</x:v>
      </x:c>
      <x:c r="D93" t="str">
        <x:v>OPERATIONAL &amp; COMMERCIAL</x:v>
      </x:c>
      <x:c r="E93" s="3" t="n">
        <x:v>8750000</x:v>
      </x:c>
      <x:c r="F93" t="str">
        <x:v>Perempuan</x:v>
      </x:c>
      <x:c r="G93" t="str">
        <x:v>Belum Menikah</x:v>
      </x:c>
      <x:c r="H93" s="4" t="n">
        <x:v>43688</x:v>
      </x:c>
      <x:c r="I93" t="str">
        <x:v>Aktif</x:v>
      </x:c>
      <x:c r="J93" s="5" t="n">
        <x:v>88</x:v>
      </x:c>
    </x:row>
    <x:row r="94">
      <x:c r="A94" t="str">
        <x:v>EMP093</x:v>
      </x:c>
      <x:c r="B94" t="str">
        <x:v>Rizky Lestari</x:v>
      </x:c>
      <x:c r="C94" t="str">
        <x:v>Operator Alat Berat</x:v>
      </x:c>
      <x:c r="D94" t="str">
        <x:v>OPERATIONAL &amp; COMMERCIAL</x:v>
      </x:c>
      <x:c r="E94" s="3" t="n">
        <x:v>5500000</x:v>
      </x:c>
      <x:c r="F94" t="str">
        <x:v>Laki-laki</x:v>
      </x:c>
      <x:c r="G94" t="str">
        <x:v>Belum Menikah</x:v>
      </x:c>
      <x:c r="H94" s="4" t="n">
        <x:v>44086</x:v>
      </x:c>
      <x:c r="I94" t="str">
        <x:v>Aktif</x:v>
      </x:c>
      <x:c r="J94" s="5" t="n">
        <x:v>95</x:v>
      </x:c>
    </x:row>
    <x:row r="95">
      <x:c r="A95" t="str">
        <x:v>EMP094</x:v>
      </x:c>
      <x:c r="B95" t="str">
        <x:v>Sari Lestari</x:v>
      </x:c>
      <x:c r="C95" t="str">
        <x:v>Operator Alat Berat</x:v>
      </x:c>
      <x:c r="D95" t="str">
        <x:v>OPERATIONAL &amp; COMMERCIAL</x:v>
      </x:c>
      <x:c r="E95" s="3" t="n">
        <x:v>5750000</x:v>
      </x:c>
      <x:c r="F95" t="str">
        <x:v>Laki-laki</x:v>
      </x:c>
      <x:c r="G95" t="str">
        <x:v>Menikah</x:v>
      </x:c>
      <x:c r="H95" s="4" t="n">
        <x:v>44482</x:v>
      </x:c>
      <x:c r="I95" t="str">
        <x:v>Aktif</x:v>
      </x:c>
      <x:c r="J95" s="5" t="n">
        <x:v>75</x:v>
      </x:c>
    </x:row>
    <x:row r="96">
      <x:c r="A96" t="str">
        <x:v>EMP095</x:v>
      </x:c>
      <x:c r="B96" t="str">
        <x:v>Taufik Lestari</x:v>
      </x:c>
      <x:c r="C96" t="str">
        <x:v>Operator Alat Berat</x:v>
      </x:c>
      <x:c r="D96" t="str">
        <x:v>OPERATIONAL &amp; COMMERCIAL</x:v>
      </x:c>
      <x:c r="E96" s="3" t="n">
        <x:v>6000000</x:v>
      </x:c>
      <x:c r="F96" t="str">
        <x:v>Laki-laki</x:v>
      </x:c>
      <x:c r="G96" t="str">
        <x:v>Belum Menikah</x:v>
      </x:c>
      <x:c r="H96" s="4" t="n">
        <x:v>44879</x:v>
      </x:c>
      <x:c r="I96" t="str">
        <x:v>Aktif</x:v>
      </x:c>
      <x:c r="J96" s="5" t="n">
        <x:v>82</x:v>
      </x:c>
    </x:row>
    <x:row r="97">
      <x:c r="A97" t="str">
        <x:v>EMP096</x:v>
      </x:c>
      <x:c r="B97" t="str">
        <x:v>Utami Lestari</x:v>
      </x:c>
      <x:c r="C97" t="str">
        <x:v>Operator Alat Berat</x:v>
      </x:c>
      <x:c r="D97" t="str">
        <x:v>OPERATIONAL &amp; COMMERCIAL</x:v>
      </x:c>
      <x:c r="E97" s="3" t="n">
        <x:v>6250000</x:v>
      </x:c>
      <x:c r="F97" t="str">
        <x:v>Laki-laki</x:v>
      </x:c>
      <x:c r="G97" t="str">
        <x:v>Belum Menikah</x:v>
      </x:c>
      <x:c r="H97" s="4" t="n">
        <x:v>45275</x:v>
      </x:c>
      <x:c r="I97" t="str">
        <x:v>Aktif</x:v>
      </x:c>
      <x:c r="J97" s="5" t="n">
        <x:v>89</x:v>
      </x:c>
    </x:row>
    <x:row r="98">
      <x:c r="A98" t="str">
        <x:v>EMP097</x:v>
      </x:c>
      <x:c r="B98" t="str">
        <x:v>Vina Lestari</x:v>
      </x:c>
      <x:c r="C98" t="str">
        <x:v>Operator Alat Berat</x:v>
      </x:c>
      <x:c r="D98" t="str">
        <x:v>OPERATIONAL &amp; COMMERCIAL</x:v>
      </x:c>
      <x:c r="E98" s="3" t="n">
        <x:v>5500000</x:v>
      </x:c>
      <x:c r="F98" t="str">
        <x:v>Laki-laki</x:v>
      </x:c>
      <x:c r="G98" t="str">
        <x:v>Menikah</x:v>
      </x:c>
      <x:c r="H98" s="4" t="n">
        <x:v>45307</x:v>
      </x:c>
      <x:c r="I98" t="str">
        <x:v>Aktif</x:v>
      </x:c>
      <x:c r="J98" s="5" t="n">
        <x:v>96</x:v>
      </x:c>
    </x:row>
    <x:row r="99">
      <x:c r="A99" t="str">
        <x:v>EMP098</x:v>
      </x:c>
      <x:c r="B99" t="str">
        <x:v>Wahyu Lestari</x:v>
      </x:c>
      <x:c r="C99" t="str">
        <x:v>Operator Alat Berat</x:v>
      </x:c>
      <x:c r="D99" t="str">
        <x:v>OPERATIONAL &amp; COMMERCIAL</x:v>
      </x:c>
      <x:c r="E99" s="3" t="n">
        <x:v>5750000</x:v>
      </x:c>
      <x:c r="F99" t="str">
        <x:v>Laki-laki</x:v>
      </x:c>
      <x:c r="G99" t="str">
        <x:v>Belum Menikah</x:v>
      </x:c>
      <x:c r="H99" s="4" t="n">
        <x:v>45705</x:v>
      </x:c>
      <x:c r="I99" t="str">
        <x:v>Aktif</x:v>
      </x:c>
      <x:c r="J99" s="5" t="n">
        <x:v>76</x:v>
      </x:c>
    </x:row>
    <x:row r="100">
      <x:c r="A100" t="str">
        <x:v>EMP099</x:v>
      </x:c>
      <x:c r="B100" t="str">
        <x:v>Yuni Lestari</x:v>
      </x:c>
      <x:c r="C100" t="str">
        <x:v>Operator Alat Berat</x:v>
      </x:c>
      <x:c r="D100" t="str">
        <x:v>OPERATIONAL &amp; COMMERCIAL</x:v>
      </x:c>
      <x:c r="E100" s="3" t="n">
        <x:v>6000000</x:v>
      </x:c>
      <x:c r="F100" t="str">
        <x:v>Perempuan</x:v>
      </x:c>
      <x:c r="G100" t="str">
        <x:v>Belum Menikah</x:v>
      </x:c>
      <x:c r="H100" s="4" t="n">
        <x:v>46099</x:v>
      </x:c>
      <x:c r="I100" t="str">
        <x:v>Aktif</x:v>
      </x:c>
      <x:c r="J100" s="5" t="n">
        <x:v>83</x:v>
      </x:c>
    </x:row>
    <x:row r="101">
      <x:c r="A101" t="str">
        <x:v>EMP100</x:v>
      </x:c>
      <x:c r="B101" t="str">
        <x:v>Zaki Lestari</x:v>
      </x:c>
      <x:c r="C101" t="str">
        <x:v>Operator Alat Berat</x:v>
      </x:c>
      <x:c r="D101" t="str">
        <x:v>OPERATIONAL &amp; COMMERCIAL</x:v>
      </x:c>
      <x:c r="E101" s="3" t="n">
        <x:v>6250000</x:v>
      </x:c>
      <x:c r="F101" t="str">
        <x:v>Laki-laki</x:v>
      </x:c>
      <x:c r="G101" t="str">
        <x:v>Menikah</x:v>
      </x:c>
      <x:c r="H101" s="4" t="n">
        <x:v>43209</x:v>
      </x:c>
      <x:c r="I101" t="str">
        <x:v>Aktif</x:v>
      </x:c>
      <x:c r="J101" s="5" t="n">
        <x:v>90</x:v>
      </x:c>
    </x:row>
    <x:row r="102">
      <x:c r="A102" t="str">
        <x:v>EMP101</x:v>
      </x:c>
      <x:c r="B102" t="str">
        <x:v>Andi Saputra</x:v>
      </x:c>
      <x:c r="C102" t="str">
        <x:v>Operator Alat Berat</x:v>
      </x:c>
      <x:c r="D102" t="str">
        <x:v>OPERATIONAL &amp; COMMERCIAL</x:v>
      </x:c>
      <x:c r="E102" s="3" t="n">
        <x:v>5500000</x:v>
      </x:c>
      <x:c r="F102" t="str">
        <x:v>Laki-laki</x:v>
      </x:c>
      <x:c r="G102" t="str">
        <x:v>Belum Menikah</x:v>
      </x:c>
      <x:c r="H102" s="4" t="n">
        <x:v>43605</x:v>
      </x:c>
      <x:c r="I102" t="str">
        <x:v>Kontrak</x:v>
      </x:c>
      <x:c r="J102" s="5" t="n">
        <x:v>97</x:v>
      </x:c>
    </x:row>
    <x:row r="103">
      <x:c r="A103" t="str">
        <x:v>EMP102</x:v>
      </x:c>
      <x:c r="B103" t="str">
        <x:v>Budi Saputra</x:v>
      </x:c>
      <x:c r="C103" t="str">
        <x:v>Operator Alat Berat</x:v>
      </x:c>
      <x:c r="D103" t="str">
        <x:v>OPERATIONAL &amp; COMMERCIAL</x:v>
      </x:c>
      <x:c r="E103" s="3" t="n">
        <x:v>5750000</x:v>
      </x:c>
      <x:c r="F103" t="str">
        <x:v>Laki-laki</x:v>
      </x:c>
      <x:c r="G103" t="str">
        <x:v>Belum Menikah</x:v>
      </x:c>
      <x:c r="H103" s="4" t="n">
        <x:v>44003</x:v>
      </x:c>
      <x:c r="I103" t="str">
        <x:v>Aktif</x:v>
      </x:c>
      <x:c r="J103" s="5" t="n">
        <x:v>77</x:v>
      </x:c>
    </x:row>
    <x:row r="104">
      <x:c r="A104" t="str">
        <x:v>EMP103</x:v>
      </x:c>
      <x:c r="B104" t="str">
        <x:v>Citra Saputra</x:v>
      </x:c>
      <x:c r="C104" t="str">
        <x:v>Operator Alat Berat</x:v>
      </x:c>
      <x:c r="D104" t="str">
        <x:v>OPERATIONAL &amp; COMMERCIAL</x:v>
      </x:c>
      <x:c r="E104" s="3" t="n">
        <x:v>6000000</x:v>
      </x:c>
      <x:c r="F104" t="str">
        <x:v>Laki-laki</x:v>
      </x:c>
      <x:c r="G104" t="str">
        <x:v>Menikah</x:v>
      </x:c>
      <x:c r="H104" s="4" t="n">
        <x:v>44399</x:v>
      </x:c>
      <x:c r="I104" t="str">
        <x:v>Aktif</x:v>
      </x:c>
      <x:c r="J104" s="5" t="n">
        <x:v>84</x:v>
      </x:c>
    </x:row>
    <x:row r="105">
      <x:c r="A105" t="str">
        <x:v>EMP104</x:v>
      </x:c>
      <x:c r="B105" t="str">
        <x:v>Dedi Saputra</x:v>
      </x:c>
      <x:c r="C105" t="str">
        <x:v>Operator Alat Berat</x:v>
      </x:c>
      <x:c r="D105" t="str">
        <x:v>OPERATIONAL &amp; COMMERCIAL</x:v>
      </x:c>
      <x:c r="E105" s="3" t="n">
        <x:v>6250000</x:v>
      </x:c>
      <x:c r="F105" t="str">
        <x:v>Laki-laki</x:v>
      </x:c>
      <x:c r="G105" t="str">
        <x:v>Belum Menikah</x:v>
      </x:c>
      <x:c r="H105" s="4" t="n">
        <x:v>44796</x:v>
      </x:c>
      <x:c r="I105" t="str">
        <x:v>Aktif</x:v>
      </x:c>
      <x:c r="J105" s="5" t="n">
        <x:v>91</x:v>
      </x:c>
    </x:row>
    <x:row r="106">
      <x:c r="A106" t="str">
        <x:v>EMP105</x:v>
      </x:c>
      <x:c r="B106" t="str">
        <x:v>Eka Saputra</x:v>
      </x:c>
      <x:c r="C106" t="str">
        <x:v>Operator Alat Berat</x:v>
      </x:c>
      <x:c r="D106" t="str">
        <x:v>OPERATIONAL &amp; COMMERCIAL</x:v>
      </x:c>
      <x:c r="E106" s="3" t="n">
        <x:v>5500000</x:v>
      </x:c>
      <x:c r="F106" t="str">
        <x:v>Laki-laki</x:v>
      </x:c>
      <x:c r="G106" t="str">
        <x:v>Belum Menikah</x:v>
      </x:c>
      <x:c r="H106" s="4" t="n">
        <x:v>45193</x:v>
      </x:c>
      <x:c r="I106" t="str">
        <x:v>Aktif</x:v>
      </x:c>
      <x:c r="J106" s="5" t="n">
        <x:v>98</x:v>
      </x:c>
    </x:row>
    <x:row r="107">
      <x:c r="A107" t="str">
        <x:v>EMP106</x:v>
      </x:c>
      <x:c r="B107" t="str">
        <x:v>Fajar Saputra</x:v>
      </x:c>
      <x:c r="C107" t="str">
        <x:v>Shift Leader</x:v>
      </x:c>
      <x:c r="D107" t="str">
        <x:v>OPERATIONAL &amp; COMMERCIAL</x:v>
      </x:c>
      <x:c r="E107" s="3" t="n">
        <x:v>8250000</x:v>
      </x:c>
      <x:c r="F107" t="str">
        <x:v>Perempuan</x:v>
      </x:c>
      <x:c r="G107" t="str">
        <x:v>Menikah</x:v>
      </x:c>
      <x:c r="H107" s="4" t="n">
        <x:v>45590</x:v>
      </x:c>
      <x:c r="I107" t="str">
        <x:v>Aktif</x:v>
      </x:c>
      <x:c r="J107" s="5" t="n">
        <x:v>78</x:v>
      </x:c>
    </x:row>
    <x:row r="108">
      <x:c r="A108" t="str">
        <x:v>EMP107</x:v>
      </x:c>
      <x:c r="B108" t="str">
        <x:v>Gita Saputra</x:v>
      </x:c>
      <x:c r="C108" t="str">
        <x:v>Shift Leader</x:v>
      </x:c>
      <x:c r="D108" t="str">
        <x:v>OPERATIONAL &amp; COMMERCIAL</x:v>
      </x:c>
      <x:c r="E108" s="3" t="n">
        <x:v>8500000</x:v>
      </x:c>
      <x:c r="F108" t="str">
        <x:v>Laki-laki</x:v>
      </x:c>
      <x:c r="G108" t="str">
        <x:v>Belum Menikah</x:v>
      </x:c>
      <x:c r="H108" s="4" t="n">
        <x:v>45987</x:v>
      </x:c>
      <x:c r="I108" t="str">
        <x:v>Aktif</x:v>
      </x:c>
      <x:c r="J108" s="5" t="n">
        <x:v>85</x:v>
      </x:c>
    </x:row>
    <x:row r="109">
      <x:c r="A109" t="str">
        <x:v>EMP108</x:v>
      </x:c>
      <x:c r="B109" t="str">
        <x:v>Hendra Saputra</x:v>
      </x:c>
      <x:c r="C109" t="str">
        <x:v>Shift Leader</x:v>
      </x:c>
      <x:c r="D109" t="str">
        <x:v>OPERATIONAL &amp; COMMERCIAL</x:v>
      </x:c>
      <x:c r="E109" s="3" t="n">
        <x:v>8750000</x:v>
      </x:c>
      <x:c r="F109" t="str">
        <x:v>Laki-laki</x:v>
      </x:c>
      <x:c r="G109" t="str">
        <x:v>Belum Menikah</x:v>
      </x:c>
      <x:c r="H109" s="4" t="n">
        <x:v>46383</x:v>
      </x:c>
      <x:c r="I109" t="str">
        <x:v>Aktif</x:v>
      </x:c>
      <x:c r="J109" s="5" t="n">
        <x:v>92</x:v>
      </x:c>
    </x:row>
    <x:row r="110">
      <x:c r="A110" t="str">
        <x:v>EMP109</x:v>
      </x:c>
      <x:c r="B110" t="str">
        <x:v>Indah Saputra</x:v>
      </x:c>
      <x:c r="C110" t="str">
        <x:v>Shift Leader</x:v>
      </x:c>
      <x:c r="D110" t="str">
        <x:v>OPERATIONAL &amp; COMMERCIAL</x:v>
      </x:c>
      <x:c r="E110" s="3" t="n">
        <x:v>8000000</x:v>
      </x:c>
      <x:c r="F110" t="str">
        <x:v>Laki-laki</x:v>
      </x:c>
      <x:c r="G110" t="str">
        <x:v>Menikah</x:v>
      </x:c>
      <x:c r="H110" s="4" t="n">
        <x:v>43101</x:v>
      </x:c>
      <x:c r="I110" t="str">
        <x:v>Aktif</x:v>
      </x:c>
      <x:c r="J110" s="5" t="n">
        <x:v>72</x:v>
      </x:c>
    </x:row>
    <x:row r="111">
      <x:c r="A111" t="str">
        <x:v>EMP110</x:v>
      </x:c>
      <x:c r="B111" t="str">
        <x:v>Joko Saputra</x:v>
      </x:c>
      <x:c r="C111" t="str">
        <x:v>Shift Leader</x:v>
      </x:c>
      <x:c r="D111" t="str">
        <x:v>OPERATIONAL &amp; COMMERCIAL</x:v>
      </x:c>
      <x:c r="E111" s="3" t="n">
        <x:v>8250000</x:v>
      </x:c>
      <x:c r="F111" t="str">
        <x:v>Laki-laki</x:v>
      </x:c>
      <x:c r="G111" t="str">
        <x:v>Belum Menikah</x:v>
      </x:c>
      <x:c r="H111" s="4" t="n">
        <x:v>43498</x:v>
      </x:c>
      <x:c r="I111" t="str">
        <x:v>Aktif</x:v>
      </x:c>
      <x:c r="J111" s="5" t="n">
        <x:v>79</x:v>
      </x:c>
    </x:row>
    <x:row r="112">
      <x:c r="A112" t="str">
        <x:v>EMP111</x:v>
      </x:c>
      <x:c r="B112" t="str">
        <x:v>Kartika Saputra</x:v>
      </x:c>
      <x:c r="C112" t="str">
        <x:v>Main Gate</x:v>
      </x:c>
      <x:c r="D112" t="str">
        <x:v>OPERATIONAL &amp; COMMERCIAL</x:v>
      </x:c>
      <x:c r="E112" s="3" t="n">
        <x:v>6000000</x:v>
      </x:c>
      <x:c r="F112" t="str">
        <x:v>Laki-laki</x:v>
      </x:c>
      <x:c r="G112" t="str">
        <x:v>Belum Menikah</x:v>
      </x:c>
      <x:c r="H112" s="4" t="n">
        <x:v>43893</x:v>
      </x:c>
      <x:c r="I112" t="str">
        <x:v>Kontrak</x:v>
      </x:c>
      <x:c r="J112" s="5" t="n">
        <x:v>86</x:v>
      </x:c>
    </x:row>
    <x:row r="113">
      <x:c r="A113" t="str">
        <x:v>EMP112</x:v>
      </x:c>
      <x:c r="B113" t="str">
        <x:v>Lukman Saputra</x:v>
      </x:c>
      <x:c r="C113" t="str">
        <x:v>Main Gate</x:v>
      </x:c>
      <x:c r="D113" t="str">
        <x:v>OPERATIONAL &amp; COMMERCIAL</x:v>
      </x:c>
      <x:c r="E113" s="3" t="n">
        <x:v>6250000</x:v>
      </x:c>
      <x:c r="F113" t="str">
        <x:v>Laki-laki</x:v>
      </x:c>
      <x:c r="G113" t="str">
        <x:v>Menikah</x:v>
      </x:c>
      <x:c r="H113" s="4" t="n">
        <x:v>44290</x:v>
      </x:c>
      <x:c r="I113" t="str">
        <x:v>Aktif</x:v>
      </x:c>
      <x:c r="J113" s="5" t="n">
        <x:v>93</x:v>
      </x:c>
    </x:row>
    <x:row r="114">
      <x:c r="A114" t="str">
        <x:v>EMP113</x:v>
      </x:c>
      <x:c r="B114" t="str">
        <x:v>Maya Saputra</x:v>
      </x:c>
      <x:c r="C114" t="str">
        <x:v>Main Gate</x:v>
      </x:c>
      <x:c r="D114" t="str">
        <x:v>OPERATIONAL &amp; COMMERCIAL</x:v>
      </x:c>
      <x:c r="E114" s="3" t="n">
        <x:v>5500000</x:v>
      </x:c>
      <x:c r="F114" t="str">
        <x:v>Perempuan</x:v>
      </x:c>
      <x:c r="G114" t="str">
        <x:v>Belum Menikah</x:v>
      </x:c>
      <x:c r="H114" s="4" t="n">
        <x:v>44686</x:v>
      </x:c>
      <x:c r="I114" t="str">
        <x:v>Aktif</x:v>
      </x:c>
      <x:c r="J114" s="5" t="n">
        <x:v>73</x:v>
      </x:c>
    </x:row>
    <x:row r="115">
      <x:c r="A115" t="str">
        <x:v>EMP114</x:v>
      </x:c>
      <x:c r="B115" t="str">
        <x:v>Naufal Saputra</x:v>
      </x:c>
      <x:c r="C115" t="str">
        <x:v>Main Gate</x:v>
      </x:c>
      <x:c r="D115" t="str">
        <x:v>OPERATIONAL &amp; COMMERCIAL</x:v>
      </x:c>
      <x:c r="E115" s="3" t="n">
        <x:v>5750000</x:v>
      </x:c>
      <x:c r="F115" t="str">
        <x:v>Laki-laki</x:v>
      </x:c>
      <x:c r="G115" t="str">
        <x:v>Belum Menikah</x:v>
      </x:c>
      <x:c r="H115" s="4" t="n">
        <x:v>45083</x:v>
      </x:c>
      <x:c r="I115" t="str">
        <x:v>Aktif</x:v>
      </x:c>
      <x:c r="J115" s="5" t="n">
        <x:v>80</x:v>
      </x:c>
    </x:row>
    <x:row r="116">
      <x:c r="A116" t="str">
        <x:v>EMP115</x:v>
      </x:c>
      <x:c r="B116" t="str">
        <x:v>Oktavia Saputra</x:v>
      </x:c>
      <x:c r="C116" t="str">
        <x:v>Main Gate</x:v>
      </x:c>
      <x:c r="D116" t="str">
        <x:v>OPERATIONAL &amp; COMMERCIAL</x:v>
      </x:c>
      <x:c r="E116" s="3" t="n">
        <x:v>6000000</x:v>
      </x:c>
      <x:c r="F116" t="str">
        <x:v>Laki-laki</x:v>
      </x:c>
      <x:c r="G116" t="str">
        <x:v>Menikah</x:v>
      </x:c>
      <x:c r="H116" s="4" t="n">
        <x:v>45480</x:v>
      </x:c>
      <x:c r="I116" t="str">
        <x:v>Aktif</x:v>
      </x:c>
      <x:c r="J116" s="5" t="n">
        <x:v>87</x:v>
      </x:c>
    </x:row>
    <x:row r="117">
      <x:c r="A117" t="str">
        <x:v>EMP116</x:v>
      </x:c>
      <x:c r="B117" t="str">
        <x:v>Putra Saputra</x:v>
      </x:c>
      <x:c r="C117" t="str">
        <x:v>Main Gate</x:v>
      </x:c>
      <x:c r="D117" t="str">
        <x:v>OPERATIONAL &amp; COMMERCIAL</x:v>
      </x:c>
      <x:c r="E117" s="3" t="n">
        <x:v>6250000</x:v>
      </x:c>
      <x:c r="F117" t="str">
        <x:v>Laki-laki</x:v>
      </x:c>
      <x:c r="G117" t="str">
        <x:v>Belum Menikah</x:v>
      </x:c>
      <x:c r="H117" s="4" t="n">
        <x:v>45877</x:v>
      </x:c>
      <x:c r="I117" t="str">
        <x:v>Aktif</x:v>
      </x:c>
      <x:c r="J117" s="5" t="n">
        <x:v>94</x:v>
      </x:c>
    </x:row>
    <x:row r="118">
      <x:c r="A118" t="str">
        <x:v>EMP117</x:v>
      </x:c>
      <x:c r="B118" t="str">
        <x:v>Qori Saputra</x:v>
      </x:c>
      <x:c r="C118" t="str">
        <x:v>Jembatan Timbang</x:v>
      </x:c>
      <x:c r="D118" t="str">
        <x:v>OPERATIONAL &amp; COMMERCIAL</x:v>
      </x:c>
      <x:c r="E118" s="3" t="n">
        <x:v>5500000</x:v>
      </x:c>
      <x:c r="F118" t="str">
        <x:v>Laki-laki</x:v>
      </x:c>
      <x:c r="G118" t="str">
        <x:v>Belum Menikah</x:v>
      </x:c>
      <x:c r="H118" s="4" t="n">
        <x:v>46274</x:v>
      </x:c>
      <x:c r="I118" t="str">
        <x:v>Aktif</x:v>
      </x:c>
      <x:c r="J118" s="5" t="n">
        <x:v>74</x:v>
      </x:c>
    </x:row>
    <x:row r="119">
      <x:c r="A119" t="str">
        <x:v>EMP118</x:v>
      </x:c>
      <x:c r="B119" t="str">
        <x:v>Rizky Saputra</x:v>
      </x:c>
      <x:c r="C119" t="str">
        <x:v>Jembatan Timbang</x:v>
      </x:c>
      <x:c r="D119" t="str">
        <x:v>OPERATIONAL &amp; COMMERCIAL</x:v>
      </x:c>
      <x:c r="E119" s="3" t="n">
        <x:v>5750000</x:v>
      </x:c>
      <x:c r="F119" t="str">
        <x:v>Laki-laki</x:v>
      </x:c>
      <x:c r="G119" t="str">
        <x:v>Menikah</x:v>
      </x:c>
      <x:c r="H119" s="4" t="n">
        <x:v>43383</x:v>
      </x:c>
      <x:c r="I119" t="str">
        <x:v>Aktif</x:v>
      </x:c>
      <x:c r="J119" s="5" t="n">
        <x:v>81</x:v>
      </x:c>
    </x:row>
    <x:row r="120">
      <x:c r="A120" t="str">
        <x:v>EMP119</x:v>
      </x:c>
      <x:c r="B120" t="str">
        <x:v>Sari Saputra</x:v>
      </x:c>
      <x:c r="C120" t="str">
        <x:v>Jembatan Timbang</x:v>
      </x:c>
      <x:c r="D120" t="str">
        <x:v>OPERATIONAL &amp; COMMERCIAL</x:v>
      </x:c>
      <x:c r="E120" s="3" t="n">
        <x:v>6000000</x:v>
      </x:c>
      <x:c r="F120" t="str">
        <x:v>Laki-laki</x:v>
      </x:c>
      <x:c r="G120" t="str">
        <x:v>Belum Menikah</x:v>
      </x:c>
      <x:c r="H120" s="4" t="n">
        <x:v>43780</x:v>
      </x:c>
      <x:c r="I120" t="str">
        <x:v>Aktif</x:v>
      </x:c>
      <x:c r="J120" s="5" t="n">
        <x:v>88</x:v>
      </x:c>
    </x:row>
    <x:row r="121">
      <x:c r="A121" t="str">
        <x:v>EMP120</x:v>
      </x:c>
      <x:c r="B121" t="str">
        <x:v>Taufik Saputra</x:v>
      </x:c>
      <x:c r="C121" t="str">
        <x:v>Jembatan Timbang</x:v>
      </x:c>
      <x:c r="D121" t="str">
        <x:v>OPERATIONAL &amp; COMMERCIAL</x:v>
      </x:c>
      <x:c r="E121" s="3" t="n">
        <x:v>6250000</x:v>
      </x:c>
      <x:c r="F121" t="str">
        <x:v>Perempuan</x:v>
      </x:c>
      <x:c r="G121" t="str">
        <x:v>Belum Menikah</x:v>
      </x:c>
      <x:c r="H121" s="4" t="n">
        <x:v>44177</x:v>
      </x:c>
      <x:c r="I121" t="str">
        <x:v>Aktif</x:v>
      </x:c>
      <x:c r="J121" s="5" t="n">
        <x:v>95</x:v>
      </x:c>
    </x:row>
    <x:row r="122">
      <x:c r="A122" t="str">
        <x:v>EMP121</x:v>
      </x:c>
      <x:c r="B122" t="str">
        <x:v>Utami Saputra</x:v>
      </x:c>
      <x:c r="C122" t="str">
        <x:v>Rigger</x:v>
      </x:c>
      <x:c r="D122" t="str">
        <x:v>OPERATIONAL &amp; COMMERCIAL</x:v>
      </x:c>
      <x:c r="E122" s="3" t="n">
        <x:v>5500000</x:v>
      </x:c>
      <x:c r="F122" t="str">
        <x:v>Laki-laki</x:v>
      </x:c>
      <x:c r="G122" t="str">
        <x:v>Menikah</x:v>
      </x:c>
      <x:c r="H122" s="4" t="n">
        <x:v>44209</x:v>
      </x:c>
      <x:c r="I122" t="str">
        <x:v>Kontrak</x:v>
      </x:c>
      <x:c r="J122" s="5" t="n">
        <x:v>75</x:v>
      </x:c>
    </x:row>
    <x:row r="123">
      <x:c r="A123" t="str">
        <x:v>EMP122</x:v>
      </x:c>
      <x:c r="B123" t="str">
        <x:v>Vina Saputra</x:v>
      </x:c>
      <x:c r="C123" t="str">
        <x:v>Rigger</x:v>
      </x:c>
      <x:c r="D123" t="str">
        <x:v>OPERATIONAL &amp; COMMERCIAL</x:v>
      </x:c>
      <x:c r="E123" s="3" t="n">
        <x:v>5750000</x:v>
      </x:c>
      <x:c r="F123" t="str">
        <x:v>Laki-laki</x:v>
      </x:c>
      <x:c r="G123" t="str">
        <x:v>Belum Menikah</x:v>
      </x:c>
      <x:c r="H123" s="4" t="n">
        <x:v>44606</x:v>
      </x:c>
      <x:c r="I123" t="str">
        <x:v>Aktif</x:v>
      </x:c>
      <x:c r="J123" s="5" t="n">
        <x:v>82</x:v>
      </x:c>
    </x:row>
    <x:row r="124">
      <x:c r="A124" t="str">
        <x:v>EMP123</x:v>
      </x:c>
      <x:c r="B124" t="str">
        <x:v>Wahyu Saputra</x:v>
      </x:c>
      <x:c r="C124" t="str">
        <x:v>Rigger</x:v>
      </x:c>
      <x:c r="D124" t="str">
        <x:v>OPERATIONAL &amp; COMMERCIAL</x:v>
      </x:c>
      <x:c r="E124" s="3" t="n">
        <x:v>6000000</x:v>
      </x:c>
      <x:c r="F124" t="str">
        <x:v>Laki-laki</x:v>
      </x:c>
      <x:c r="G124" t="str">
        <x:v>Belum Menikah</x:v>
      </x:c>
      <x:c r="H124" s="4" t="n">
        <x:v>45000</x:v>
      </x:c>
      <x:c r="I124" t="str">
        <x:v>Aktif</x:v>
      </x:c>
      <x:c r="J124" s="5" t="n">
        <x:v>89</x:v>
      </x:c>
    </x:row>
    <x:row r="125">
      <x:c r="A125" t="str">
        <x:v>EMP124</x:v>
      </x:c>
      <x:c r="B125" t="str">
        <x:v>Yuni Saputra</x:v>
      </x:c>
      <x:c r="C125" t="str">
        <x:v>Rigger</x:v>
      </x:c>
      <x:c r="D125" t="str">
        <x:v>OPERATIONAL &amp; COMMERCIAL</x:v>
      </x:c>
      <x:c r="E125" s="3" t="n">
        <x:v>6250000</x:v>
      </x:c>
      <x:c r="F125" t="str">
        <x:v>Laki-laki</x:v>
      </x:c>
      <x:c r="G125" t="str">
        <x:v>Menikah</x:v>
      </x:c>
      <x:c r="H125" s="4" t="n">
        <x:v>45398</x:v>
      </x:c>
      <x:c r="I125" t="str">
        <x:v>Aktif</x:v>
      </x:c>
      <x:c r="J125" s="5" t="n">
        <x:v>96</x:v>
      </x:c>
    </x:row>
    <x:row r="126">
      <x:c r="A126" t="str">
        <x:v>EMP125</x:v>
      </x:c>
      <x:c r="B126" t="str">
        <x:v>Zaki Saputra</x:v>
      </x:c>
      <x:c r="C126" t="str">
        <x:v>Rigger</x:v>
      </x:c>
      <x:c r="D126" t="str">
        <x:v>OPERATIONAL &amp; COMMERCIAL</x:v>
      </x:c>
      <x:c r="E126" s="3" t="n">
        <x:v>5500000</x:v>
      </x:c>
      <x:c r="F126" t="str">
        <x:v>Laki-laki</x:v>
      </x:c>
      <x:c r="G126" t="str">
        <x:v>Belum Menikah</x:v>
      </x:c>
      <x:c r="H126" s="4" t="n">
        <x:v>45794</x:v>
      </x:c>
      <x:c r="I126" t="str">
        <x:v>Aktif</x:v>
      </x:c>
      <x:c r="J126" s="5" t="n">
        <x:v>76</x:v>
      </x:c>
    </x:row>
    <x:row r="127">
      <x:c r="A127" t="str">
        <x:v>EMP126</x:v>
      </x:c>
      <x:c r="B127" t="str">
        <x:v>Andi Hidayat</x:v>
      </x:c>
      <x:c r="C127" t="str">
        <x:v>Rigger</x:v>
      </x:c>
      <x:c r="D127" t="str">
        <x:v>OPERATIONAL &amp; COMMERCIAL</x:v>
      </x:c>
      <x:c r="E127" s="3" t="n">
        <x:v>5750000</x:v>
      </x:c>
      <x:c r="F127" t="str">
        <x:v>Laki-laki</x:v>
      </x:c>
      <x:c r="G127" t="str">
        <x:v>Belum Menikah</x:v>
      </x:c>
      <x:c r="H127" s="4" t="n">
        <x:v>46191</x:v>
      </x:c>
      <x:c r="I127" t="str">
        <x:v>Aktif</x:v>
      </x:c>
      <x:c r="J127" s="5" t="n">
        <x:v>83</x:v>
      </x:c>
    </x:row>
    <x:row r="128">
      <x:c r="A128" t="str">
        <x:v>EMP127</x:v>
      </x:c>
      <x:c r="B128" t="str">
        <x:v>Budi Hidayat</x:v>
      </x:c>
      <x:c r="C128" t="str">
        <x:v>Operator Pompa</x:v>
      </x:c>
      <x:c r="D128" t="str">
        <x:v>OPERATIONAL &amp; COMMERCIAL</x:v>
      </x:c>
      <x:c r="E128" s="3" t="n">
        <x:v>6000000</x:v>
      </x:c>
      <x:c r="F128" t="str">
        <x:v>Perempuan</x:v>
      </x:c>
      <x:c r="G128" t="str">
        <x:v>Menikah</x:v>
      </x:c>
      <x:c r="H128" s="4" t="n">
        <x:v>43300</x:v>
      </x:c>
      <x:c r="I128" t="str">
        <x:v>Aktif</x:v>
      </x:c>
      <x:c r="J128" s="5" t="n">
        <x:v>90</x:v>
      </x:c>
    </x:row>
    <x:row r="129">
      <x:c r="A129" t="str">
        <x:v>EMP128</x:v>
      </x:c>
      <x:c r="B129" t="str">
        <x:v>Citra Hidayat</x:v>
      </x:c>
      <x:c r="C129" t="str">
        <x:v>Operator Pompa</x:v>
      </x:c>
      <x:c r="D129" t="str">
        <x:v>OPERATIONAL &amp; COMMERCIAL</x:v>
      </x:c>
      <x:c r="E129" s="3" t="n">
        <x:v>6250000</x:v>
      </x:c>
      <x:c r="F129" t="str">
        <x:v>Laki-laki</x:v>
      </x:c>
      <x:c r="G129" t="str">
        <x:v>Belum Menikah</x:v>
      </x:c>
      <x:c r="H129" s="4" t="n">
        <x:v>43697</x:v>
      </x:c>
      <x:c r="I129" t="str">
        <x:v>Aktif</x:v>
      </x:c>
      <x:c r="J129" s="5" t="n">
        <x:v>97</x:v>
      </x:c>
    </x:row>
    <x:row r="130">
      <x:c r="A130" t="str">
        <x:v>EMP129</x:v>
      </x:c>
      <x:c r="B130" t="str">
        <x:v>Dedi Hidayat</x:v>
      </x:c>
      <x:c r="C130" t="str">
        <x:v>Operator Pompa</x:v>
      </x:c>
      <x:c r="D130" t="str">
        <x:v>OPERATIONAL &amp; COMMERCIAL</x:v>
      </x:c>
      <x:c r="E130" s="3" t="n">
        <x:v>5500000</x:v>
      </x:c>
      <x:c r="F130" t="str">
        <x:v>Laki-laki</x:v>
      </x:c>
      <x:c r="G130" t="str">
        <x:v>Belum Menikah</x:v>
      </x:c>
      <x:c r="H130" s="4" t="n">
        <x:v>44095</x:v>
      </x:c>
      <x:c r="I130" t="str">
        <x:v>Aktif</x:v>
      </x:c>
      <x:c r="J130" s="5" t="n">
        <x:v>77</x:v>
      </x:c>
    </x:row>
    <x:row r="131">
      <x:c r="A131" t="str">
        <x:v>EMP130</x:v>
      </x:c>
      <x:c r="B131" t="str">
        <x:v>Eka Hidayat</x:v>
      </x:c>
      <x:c r="C131" t="str">
        <x:v>Operator Pompa</x:v>
      </x:c>
      <x:c r="D131" t="str">
        <x:v>OPERATIONAL &amp; COMMERCIAL</x:v>
      </x:c>
      <x:c r="E131" s="3" t="n">
        <x:v>5750000</x:v>
      </x:c>
      <x:c r="F131" t="str">
        <x:v>Laki-laki</x:v>
      </x:c>
      <x:c r="G131" t="str">
        <x:v>Menikah</x:v>
      </x:c>
      <x:c r="H131" s="4" t="n">
        <x:v>44491</x:v>
      </x:c>
      <x:c r="I131" t="str">
        <x:v>Aktif</x:v>
      </x:c>
      <x:c r="J131" s="5" t="n">
        <x:v>84</x:v>
      </x:c>
    </x:row>
    <x:row r="132">
      <x:c r="A132" t="str">
        <x:v>EMP131</x:v>
      </x:c>
      <x:c r="B132" t="str">
        <x:v>Fajar Hidayat</x:v>
      </x:c>
      <x:c r="C132" t="str">
        <x:v>Operator Pompa</x:v>
      </x:c>
      <x:c r="D132" t="str">
        <x:v>OPERATIONAL &amp; COMMERCIAL</x:v>
      </x:c>
      <x:c r="E132" s="3" t="n">
        <x:v>6000000</x:v>
      </x:c>
      <x:c r="F132" t="str">
        <x:v>Laki-laki</x:v>
      </x:c>
      <x:c r="G132" t="str">
        <x:v>Belum Menikah</x:v>
      </x:c>
      <x:c r="H132" s="4" t="n">
        <x:v>44888</x:v>
      </x:c>
      <x:c r="I132" t="str">
        <x:v>Kontrak</x:v>
      </x:c>
      <x:c r="J132" s="5" t="n">
        <x:v>91</x:v>
      </x:c>
    </x:row>
    <x:row r="133">
      <x:c r="A133" t="str">
        <x:v>EMP132</x:v>
      </x:c>
      <x:c r="B133" t="str">
        <x:v>Gita Hidayat</x:v>
      </x:c>
      <x:c r="C133" t="str">
        <x:v>Operator Pompa</x:v>
      </x:c>
      <x:c r="D133" t="str">
        <x:v>OPERATIONAL &amp; COMMERCIAL</x:v>
      </x:c>
      <x:c r="E133" s="3" t="n">
        <x:v>6250000</x:v>
      </x:c>
      <x:c r="F133" t="str">
        <x:v>Laki-laki</x:v>
      </x:c>
      <x:c r="G133" t="str">
        <x:v>Belum Menikah</x:v>
      </x:c>
      <x:c r="H133" s="4" t="n">
        <x:v>45284</x:v>
      </x:c>
      <x:c r="I133" t="str">
        <x:v>Aktif</x:v>
      </x:c>
      <x:c r="J133" s="5" t="n">
        <x:v>98</x:v>
      </x:c>
    </x:row>
    <x:row r="134">
      <x:c r="A134" t="str">
        <x:v>EMP133</x:v>
      </x:c>
      <x:c r="B134" t="str">
        <x:v>Hendra Hidayat</x:v>
      </x:c>
      <x:c r="C134" t="str">
        <x:v>Operator Jaringan</x:v>
      </x:c>
      <x:c r="D134" t="str">
        <x:v>OPERATIONAL &amp; COMMERCIAL</x:v>
      </x:c>
      <x:c r="E134" s="3" t="n">
        <x:v>5500000</x:v>
      </x:c>
      <x:c r="F134" t="str">
        <x:v>Laki-laki</x:v>
      </x:c>
      <x:c r="G134" t="str">
        <x:v>Menikah</x:v>
      </x:c>
      <x:c r="H134" s="4" t="n">
        <x:v>45316</x:v>
      </x:c>
      <x:c r="I134" t="str">
        <x:v>Aktif</x:v>
      </x:c>
      <x:c r="J134" s="5" t="n">
        <x:v>78</x:v>
      </x:c>
    </x:row>
    <x:row r="135">
      <x:c r="A135" t="str">
        <x:v>EMP134</x:v>
      </x:c>
      <x:c r="B135" t="str">
        <x:v>Indah Hidayat</x:v>
      </x:c>
      <x:c r="C135" t="str">
        <x:v>Operator Jaringan</x:v>
      </x:c>
      <x:c r="D135" t="str">
        <x:v>OPERATIONAL &amp; COMMERCIAL</x:v>
      </x:c>
      <x:c r="E135" s="3" t="n">
        <x:v>5750000</x:v>
      </x:c>
      <x:c r="F135" t="str">
        <x:v>Perempuan</x:v>
      </x:c>
      <x:c r="G135" t="str">
        <x:v>Belum Menikah</x:v>
      </x:c>
      <x:c r="H135" s="4" t="n">
        <x:v>45714</x:v>
      </x:c>
      <x:c r="I135" t="str">
        <x:v>Aktif</x:v>
      </x:c>
      <x:c r="J135" s="5" t="n">
        <x:v>85</x:v>
      </x:c>
    </x:row>
    <x:row r="136">
      <x:c r="A136" t="str">
        <x:v>EMP135</x:v>
      </x:c>
      <x:c r="B136" t="str">
        <x:v>Joko Hidayat</x:v>
      </x:c>
      <x:c r="C136" t="str">
        <x:v>Operator Jaringan</x:v>
      </x:c>
      <x:c r="D136" t="str">
        <x:v>OPERATIONAL &amp; COMMERCIAL</x:v>
      </x:c>
      <x:c r="E136" s="3" t="n">
        <x:v>6000000</x:v>
      </x:c>
      <x:c r="F136" t="str">
        <x:v>Laki-laki</x:v>
      </x:c>
      <x:c r="G136" t="str">
        <x:v>Belum Menikah</x:v>
      </x:c>
      <x:c r="H136" s="4" t="n">
        <x:v>46108</x:v>
      </x:c>
      <x:c r="I136" t="str">
        <x:v>Aktif</x:v>
      </x:c>
      <x:c r="J136" s="5" t="n">
        <x:v>92</x:v>
      </x:c>
    </x:row>
    <x:row r="137">
      <x:c r="A137" t="str">
        <x:v>EMP136</x:v>
      </x:c>
      <x:c r="B137" t="str">
        <x:v>Kartika Hidayat</x:v>
      </x:c>
      <x:c r="C137" t="str">
        <x:v>Operator Jaringan</x:v>
      </x:c>
      <x:c r="D137" t="str">
        <x:v>OPERATIONAL &amp; COMMERCIAL</x:v>
      </x:c>
      <x:c r="E137" s="3" t="n">
        <x:v>6250000</x:v>
      </x:c>
      <x:c r="F137" t="str">
        <x:v>Laki-laki</x:v>
      </x:c>
      <x:c r="G137" t="str">
        <x:v>Menikah</x:v>
      </x:c>
      <x:c r="H137" s="4" t="n">
        <x:v>43191</x:v>
      </x:c>
      <x:c r="I137" t="str">
        <x:v>Aktif</x:v>
      </x:c>
      <x:c r="J137" s="5" t="n">
        <x:v>72</x:v>
      </x:c>
    </x:row>
    <x:row r="138">
      <x:c r="A138" t="str">
        <x:v>EMP137</x:v>
      </x:c>
      <x:c r="B138" t="str">
        <x:v>Lukman Hidayat</x:v>
      </x:c>
      <x:c r="C138" t="str">
        <x:v>Cleaning Ash Yard</x:v>
      </x:c>
      <x:c r="D138" t="str">
        <x:v>OPERATIONAL &amp; COMMERCIAL</x:v>
      </x:c>
      <x:c r="E138" s="3" t="n">
        <x:v>4800000</x:v>
      </x:c>
      <x:c r="F138" t="str">
        <x:v>Laki-laki</x:v>
      </x:c>
      <x:c r="G138" t="str">
        <x:v>Belum Menikah</x:v>
      </x:c>
      <x:c r="H138" s="4" t="n">
        <x:v>43587</x:v>
      </x:c>
      <x:c r="I138" t="str">
        <x:v>Aktif</x:v>
      </x:c>
      <x:c r="J138" s="5" t="n">
        <x:v>79</x:v>
      </x:c>
    </x:row>
    <x:row r="139">
      <x:c r="A139" t="str">
        <x:v>EMP138</x:v>
      </x:c>
      <x:c r="B139" t="str">
        <x:v>Maya Hidayat</x:v>
      </x:c>
      <x:c r="C139" t="str">
        <x:v>Cleaning Ash Yard</x:v>
      </x:c>
      <x:c r="D139" t="str">
        <x:v>OPERATIONAL &amp; COMMERCIAL</x:v>
      </x:c>
      <x:c r="E139" s="3" t="n">
        <x:v>5050000</x:v>
      </x:c>
      <x:c r="F139" t="str">
        <x:v>Laki-laki</x:v>
      </x:c>
      <x:c r="G139" t="str">
        <x:v>Belum Menikah</x:v>
      </x:c>
      <x:c r="H139" s="4" t="n">
        <x:v>43985</x:v>
      </x:c>
      <x:c r="I139" t="str">
        <x:v>Aktif</x:v>
      </x:c>
      <x:c r="J139" s="5" t="n">
        <x:v>86</x:v>
      </x:c>
    </x:row>
    <x:row r="140">
      <x:c r="A140" t="str">
        <x:v>EMP139</x:v>
      </x:c>
      <x:c r="B140" t="str">
        <x:v>Naufal Hidayat</x:v>
      </x:c>
      <x:c r="C140" t="str">
        <x:v>Cleaning Ash Yard</x:v>
      </x:c>
      <x:c r="D140" t="str">
        <x:v>OPERATIONAL &amp; COMMERCIAL</x:v>
      </x:c>
      <x:c r="E140" s="3" t="n">
        <x:v>5300000</x:v>
      </x:c>
      <x:c r="F140" t="str">
        <x:v>Laki-laki</x:v>
      </x:c>
      <x:c r="G140" t="str">
        <x:v>Menikah</x:v>
      </x:c>
      <x:c r="H140" s="4" t="n">
        <x:v>44381</x:v>
      </x:c>
      <x:c r="I140" t="str">
        <x:v>Aktif</x:v>
      </x:c>
      <x:c r="J140" s="5" t="n">
        <x:v>93</x:v>
      </x:c>
    </x:row>
    <x:row r="141">
      <x:c r="A141" t="str">
        <x:v>EMP140</x:v>
      </x:c>
      <x:c r="B141" t="str">
        <x:v>Oktavia Hidayat</x:v>
      </x:c>
      <x:c r="C141" t="str">
        <x:v>Cleaning Ash Yard</x:v>
      </x:c>
      <x:c r="D141" t="str">
        <x:v>OPERATIONAL &amp; COMMERCIAL</x:v>
      </x:c>
      <x:c r="E141" s="3" t="n">
        <x:v>5550000</x:v>
      </x:c>
      <x:c r="F141" t="str">
        <x:v>Laki-laki</x:v>
      </x:c>
      <x:c r="G141" t="str">
        <x:v>Belum Menikah</x:v>
      </x:c>
      <x:c r="H141" s="4" t="n">
        <x:v>44778</x:v>
      </x:c>
      <x:c r="I141" t="str">
        <x:v>Aktif</x:v>
      </x:c>
      <x:c r="J141" s="5" t="n">
        <x:v>73</x:v>
      </x:c>
    </x:row>
    <x:row r="142">
      <x:c r="A142" t="str">
        <x:v>EMP141</x:v>
      </x:c>
      <x:c r="B142" t="str">
        <x:v>Putra Hidayat</x:v>
      </x:c>
      <x:c r="C142" t="str">
        <x:v>Cleaning Ash Yard</x:v>
      </x:c>
      <x:c r="D142" t="str">
        <x:v>OPERATIONAL &amp; COMMERCIAL</x:v>
      </x:c>
      <x:c r="E142" s="3" t="n">
        <x:v>4800000</x:v>
      </x:c>
      <x:c r="F142" t="str">
        <x:v>Perempuan</x:v>
      </x:c>
      <x:c r="G142" t="str">
        <x:v>Belum Menikah</x:v>
      </x:c>
      <x:c r="H142" s="4" t="n">
        <x:v>45175</x:v>
      </x:c>
      <x:c r="I142" t="str">
        <x:v>Kontrak</x:v>
      </x:c>
      <x:c r="J142" s="5" t="n">
        <x:v>80</x:v>
      </x:c>
    </x:row>
    <x:row r="143">
      <x:c r="A143" t="str">
        <x:v>EMP142</x:v>
      </x:c>
      <x:c r="B143" t="str">
        <x:v>Qori Hidayat</x:v>
      </x:c>
      <x:c r="C143" t="str">
        <x:v>Cleaning Ash Yard</x:v>
      </x:c>
      <x:c r="D143" t="str">
        <x:v>OPERATIONAL &amp; COMMERCIAL</x:v>
      </x:c>
      <x:c r="E143" s="3" t="n">
        <x:v>5050000</x:v>
      </x:c>
      <x:c r="F143" t="str">
        <x:v>Laki-laki</x:v>
      </x:c>
      <x:c r="G143" t="str">
        <x:v>Menikah</x:v>
      </x:c>
      <x:c r="H143" s="4" t="n">
        <x:v>45572</x:v>
      </x:c>
      <x:c r="I143" t="str">
        <x:v>Aktif</x:v>
      </x:c>
      <x:c r="J143" s="5" t="n">
        <x:v>87</x:v>
      </x:c>
    </x:row>
    <x:row r="144">
      <x:c r="A144" t="str">
        <x:v>EMP143</x:v>
      </x:c>
      <x:c r="B144" t="str">
        <x:v>Rizky Hidayat</x:v>
      </x:c>
      <x:c r="C144" t="str">
        <x:v>Cleaning Ash Yard</x:v>
      </x:c>
      <x:c r="D144" t="str">
        <x:v>OPERATIONAL &amp; COMMERCIAL</x:v>
      </x:c>
      <x:c r="E144" s="3" t="n">
        <x:v>5300000</x:v>
      </x:c>
      <x:c r="F144" t="str">
        <x:v>Laki-laki</x:v>
      </x:c>
      <x:c r="G144" t="str">
        <x:v>Belum Menikah</x:v>
      </x:c>
      <x:c r="H144" s="4" t="n">
        <x:v>45969</x:v>
      </x:c>
      <x:c r="I144" t="str">
        <x:v>Aktif</x:v>
      </x:c>
      <x:c r="J144" s="5" t="n">
        <x:v>94</x:v>
      </x:c>
    </x:row>
    <x:row r="145">
      <x:c r="A145" t="str">
        <x:v>EMP144</x:v>
      </x:c>
      <x:c r="B145" t="str">
        <x:v>Sari Hidayat</x:v>
      </x:c>
      <x:c r="C145" t="str">
        <x:v>Cleaning Ash Yard</x:v>
      </x:c>
      <x:c r="D145" t="str">
        <x:v>OPERATIONAL &amp; COMMERCIAL</x:v>
      </x:c>
      <x:c r="E145" s="3" t="n">
        <x:v>5550000</x:v>
      </x:c>
      <x:c r="F145" t="str">
        <x:v>Laki-laki</x:v>
      </x:c>
      <x:c r="G145" t="str">
        <x:v>Belum Menikah</x:v>
      </x:c>
      <x:c r="H145" s="4" t="n">
        <x:v>46365</x:v>
      </x:c>
      <x:c r="I145" t="str">
        <x:v>Aktif</x:v>
      </x:c>
      <x:c r="J145" s="5" t="n">
        <x:v>74</x:v>
      </x:c>
    </x:row>
    <x:row r="146">
      <x:c r="A146" t="str">
        <x:v>EMP145</x:v>
      </x:c>
      <x:c r="B146" t="str">
        <x:v>Taufik Hidayat</x:v>
      </x:c>
      <x:c r="C146" t="str">
        <x:v>Cleaning Ash Yard</x:v>
      </x:c>
      <x:c r="D146" t="str">
        <x:v>OPERATIONAL &amp; COMMERCIAL</x:v>
      </x:c>
      <x:c r="E146" s="3" t="n">
        <x:v>4800000</x:v>
      </x:c>
      <x:c r="F146" t="str">
        <x:v>Laki-laki</x:v>
      </x:c>
      <x:c r="G146" t="str">
        <x:v>Menikah</x:v>
      </x:c>
      <x:c r="H146" s="4" t="n">
        <x:v>43110</x:v>
      </x:c>
      <x:c r="I146" t="str">
        <x:v>Aktif</x:v>
      </x:c>
      <x:c r="J146" s="5" t="n">
        <x:v>81</x:v>
      </x:c>
    </x:row>
    <x:row r="147">
      <x:c r="A147" t="str">
        <x:v>EMP146</x:v>
      </x:c>
      <x:c r="B147" t="str">
        <x:v>Utami Hidayat</x:v>
      </x:c>
      <x:c r="C147" t="str">
        <x:v>Cleaning Ash Yard</x:v>
      </x:c>
      <x:c r="D147" t="str">
        <x:v>OPERATIONAL &amp; COMMERCIAL</x:v>
      </x:c>
      <x:c r="E147" s="3" t="n">
        <x:v>5050000</x:v>
      </x:c>
      <x:c r="F147" t="str">
        <x:v>Laki-laki</x:v>
      </x:c>
      <x:c r="G147" t="str">
        <x:v>Belum Menikah</x:v>
      </x:c>
      <x:c r="H147" s="4" t="n">
        <x:v>43507</x:v>
      </x:c>
      <x:c r="I147" t="str">
        <x:v>Aktif</x:v>
      </x:c>
      <x:c r="J147" s="5" t="n">
        <x:v>88</x:v>
      </x:c>
    </x:row>
    <x:row r="148">
      <x:c r="A148" t="str">
        <x:v>EMP147</x:v>
      </x:c>
      <x:c r="B148" t="str">
        <x:v>Vina Hidayat</x:v>
      </x:c>
      <x:c r="C148" t="str">
        <x:v>Grass Cutting</x:v>
      </x:c>
      <x:c r="D148" t="str">
        <x:v>OPERATIONAL &amp; COMMERCIAL</x:v>
      </x:c>
      <x:c r="E148" s="3" t="n">
        <x:v>5300000</x:v>
      </x:c>
      <x:c r="F148" t="str">
        <x:v>Laki-laki</x:v>
      </x:c>
      <x:c r="G148" t="str">
        <x:v>Belum Menikah</x:v>
      </x:c>
      <x:c r="H148" s="4" t="n">
        <x:v>43902</x:v>
      </x:c>
      <x:c r="I148" t="str">
        <x:v>Aktif</x:v>
      </x:c>
      <x:c r="J148" s="5" t="n">
        <x:v>95</x:v>
      </x:c>
    </x:row>
    <x:row r="149">
      <x:c r="A149" t="str">
        <x:v>EMP148</x:v>
      </x:c>
      <x:c r="B149" t="str">
        <x:v>Wahyu Hidayat</x:v>
      </x:c>
      <x:c r="C149" t="str">
        <x:v>Grass Cutting</x:v>
      </x:c>
      <x:c r="D149" t="str">
        <x:v>OPERATIONAL &amp; COMMERCIAL</x:v>
      </x:c>
      <x:c r="E149" s="3" t="n">
        <x:v>5550000</x:v>
      </x:c>
      <x:c r="F149" t="str">
        <x:v>Perempuan</x:v>
      </x:c>
      <x:c r="G149" t="str">
        <x:v>Menikah</x:v>
      </x:c>
      <x:c r="H149" s="4" t="n">
        <x:v>44299</x:v>
      </x:c>
      <x:c r="I149" t="str">
        <x:v>Aktif</x:v>
      </x:c>
      <x:c r="J149" s="5" t="n">
        <x:v>75</x:v>
      </x:c>
    </x:row>
    <x:row r="150">
      <x:c r="A150" t="str">
        <x:v>EMP149</x:v>
      </x:c>
      <x:c r="B150" t="str">
        <x:v>Yuni Hidayat</x:v>
      </x:c>
      <x:c r="C150" t="str">
        <x:v>Grass Cutting</x:v>
      </x:c>
      <x:c r="D150" t="str">
        <x:v>OPERATIONAL &amp; COMMERCIAL</x:v>
      </x:c>
      <x:c r="E150" s="3" t="n">
        <x:v>4800000</x:v>
      </x:c>
      <x:c r="F150" t="str">
        <x:v>Laki-laki</x:v>
      </x:c>
      <x:c r="G150" t="str">
        <x:v>Belum Menikah</x:v>
      </x:c>
      <x:c r="H150" s="4" t="n">
        <x:v>44695</x:v>
      </x:c>
      <x:c r="I150" t="str">
        <x:v>Aktif</x:v>
      </x:c>
      <x:c r="J150" s="5" t="n">
        <x:v>82</x:v>
      </x:c>
    </x:row>
    <x:row r="151">
      <x:c r="A151" t="str">
        <x:v>EMP150</x:v>
      </x:c>
      <x:c r="B151" t="str">
        <x:v>Zaki Hidayat</x:v>
      </x:c>
      <x:c r="C151" t="str">
        <x:v>Grass Cutting</x:v>
      </x:c>
      <x:c r="D151" t="str">
        <x:v>OPERATIONAL &amp; COMMERCIAL</x:v>
      </x:c>
      <x:c r="E151" s="3" t="n">
        <x:v>5050000</x:v>
      </x:c>
      <x:c r="F151" t="str">
        <x:v>Laki-laki</x:v>
      </x:c>
      <x:c r="G151" t="str">
        <x:v>Belum Menikah</x:v>
      </x:c>
      <x:c r="H151" s="4" t="n">
        <x:v>45092</x:v>
      </x:c>
      <x:c r="I151" t="str">
        <x:v>Aktif</x:v>
      </x:c>
      <x:c r="J151" s="5" t="n">
        <x:v>89</x:v>
      </x:c>
    </x:row>
    <x:row r="152">
      <x:c r="A152" t="str">
        <x:v>EMP151</x:v>
      </x:c>
      <x:c r="B152" t="str">
        <x:v>Andi Permata</x:v>
      </x:c>
      <x:c r="C152" t="str">
        <x:v>Grass Cutting</x:v>
      </x:c>
      <x:c r="D152" t="str">
        <x:v>OPERATIONAL &amp; COMMERCIAL</x:v>
      </x:c>
      <x:c r="E152" s="3" t="n">
        <x:v>5300000</x:v>
      </x:c>
      <x:c r="F152" t="str">
        <x:v>Laki-laki</x:v>
      </x:c>
      <x:c r="G152" t="str">
        <x:v>Menikah</x:v>
      </x:c>
      <x:c r="H152" s="4" t="n">
        <x:v>45489</x:v>
      </x:c>
      <x:c r="I152" t="str">
        <x:v>Kontrak</x:v>
      </x:c>
      <x:c r="J152" s="5" t="n">
        <x:v>96</x:v>
      </x:c>
    </x:row>
    <x:row r="153">
      <x:c r="A153" t="str">
        <x:v>EMP152</x:v>
      </x:c>
      <x:c r="B153" t="str">
        <x:v>Budi Permata</x:v>
      </x:c>
      <x:c r="C153" t="str">
        <x:v>Mekanik</x:v>
      </x:c>
      <x:c r="D153" t="str">
        <x:v>OPERATIONAL &amp; COMMERCIAL</x:v>
      </x:c>
      <x:c r="E153" s="3" t="n">
        <x:v>7750000</x:v>
      </x:c>
      <x:c r="F153" t="str">
        <x:v>Laki-laki</x:v>
      </x:c>
      <x:c r="G153" t="str">
        <x:v>Belum Menikah</x:v>
      </x:c>
      <x:c r="H153" s="4" t="n">
        <x:v>45886</x:v>
      </x:c>
      <x:c r="I153" t="str">
        <x:v>Aktif</x:v>
      </x:c>
      <x:c r="J153" s="5" t="n">
        <x:v>76</x:v>
      </x:c>
    </x:row>
    <x:row r="154">
      <x:c r="A154" t="str">
        <x:v>EMP153</x:v>
      </x:c>
      <x:c r="B154" t="str">
        <x:v>Citra Permata</x:v>
      </x:c>
      <x:c r="C154" t="str">
        <x:v>Mekanik</x:v>
      </x:c>
      <x:c r="D154" t="str">
        <x:v>OPERATIONAL &amp; COMMERCIAL</x:v>
      </x:c>
      <x:c r="E154" s="3" t="n">
        <x:v>7000000</x:v>
      </x:c>
      <x:c r="F154" t="str">
        <x:v>Laki-laki</x:v>
      </x:c>
      <x:c r="G154" t="str">
        <x:v>Belum Menikah</x:v>
      </x:c>
      <x:c r="H154" s="4" t="n">
        <x:v>46283</x:v>
      </x:c>
      <x:c r="I154" t="str">
        <x:v>Aktif</x:v>
      </x:c>
      <x:c r="J154" s="5" t="n">
        <x:v>83</x:v>
      </x:c>
    </x:row>
    <x:row r="155">
      <x:c r="A155" t="str">
        <x:v>EMP154</x:v>
      </x:c>
      <x:c r="B155" t="str">
        <x:v>Dedi Permata</x:v>
      </x:c>
      <x:c r="C155" t="str">
        <x:v>Mekanik</x:v>
      </x:c>
      <x:c r="D155" t="str">
        <x:v>OPERATIONAL &amp; COMMERCIAL</x:v>
      </x:c>
      <x:c r="E155" s="3" t="n">
        <x:v>7250000</x:v>
      </x:c>
      <x:c r="F155" t="str">
        <x:v>Laki-laki</x:v>
      </x:c>
      <x:c r="G155" t="str">
        <x:v>Menikah</x:v>
      </x:c>
      <x:c r="H155" s="4" t="n">
        <x:v>43392</x:v>
      </x:c>
      <x:c r="I155" t="str">
        <x:v>Aktif</x:v>
      </x:c>
      <x:c r="J155" s="5" t="n">
        <x:v>90</x:v>
      </x:c>
    </x:row>
    <x:row r="156">
      <x:c r="A156" t="str">
        <x:v>EMP155</x:v>
      </x:c>
      <x:c r="B156" t="str">
        <x:v>Eka Permata</x:v>
      </x:c>
      <x:c r="C156" t="str">
        <x:v>Mekanik</x:v>
      </x:c>
      <x:c r="D156" t="str">
        <x:v>OPERATIONAL &amp; COMMERCIAL</x:v>
      </x:c>
      <x:c r="E156" s="3" t="n">
        <x:v>7500000</x:v>
      </x:c>
      <x:c r="F156" t="str">
        <x:v>Perempuan</x:v>
      </x:c>
      <x:c r="G156" t="str">
        <x:v>Belum Menikah</x:v>
      </x:c>
      <x:c r="H156" s="4" t="n">
        <x:v>43789</x:v>
      </x:c>
      <x:c r="I156" t="str">
        <x:v>Aktif</x:v>
      </x:c>
      <x:c r="J156" s="5" t="n">
        <x:v>97</x:v>
      </x:c>
    </x:row>
    <x:row r="157">
      <x:c r="A157" t="str">
        <x:v>EMP156</x:v>
      </x:c>
      <x:c r="B157" t="str">
        <x:v>Fajar Permata</x:v>
      </x:c>
      <x:c r="C157" t="str">
        <x:v>Mekanik</x:v>
      </x:c>
      <x:c r="D157" t="str">
        <x:v>OPERATIONAL &amp; COMMERCIAL</x:v>
      </x:c>
      <x:c r="E157" s="3" t="n">
        <x:v>7750000</x:v>
      </x:c>
      <x:c r="F157" t="str">
        <x:v>Laki-laki</x:v>
      </x:c>
      <x:c r="G157" t="str">
        <x:v>Belum Menikah</x:v>
      </x:c>
      <x:c r="H157" s="4" t="n">
        <x:v>44186</x:v>
      </x:c>
      <x:c r="I157" t="str">
        <x:v>Aktif</x:v>
      </x:c>
      <x:c r="J157" s="5" t="n">
        <x:v>77</x:v>
      </x:c>
    </x:row>
    <x:row r="158">
      <x:c r="A158" t="str">
        <x:v>EMP157</x:v>
      </x:c>
      <x:c r="B158" t="str">
        <x:v>Gita Permata</x:v>
      </x:c>
      <x:c r="C158" t="str">
        <x:v>Mekanik</x:v>
      </x:c>
      <x:c r="D158" t="str">
        <x:v>OPERATIONAL &amp; COMMERCIAL</x:v>
      </x:c>
      <x:c r="E158" s="3" t="n">
        <x:v>7000000</x:v>
      </x:c>
      <x:c r="F158" t="str">
        <x:v>Laki-laki</x:v>
      </x:c>
      <x:c r="G158" t="str">
        <x:v>Menikah</x:v>
      </x:c>
      <x:c r="H158" s="4" t="n">
        <x:v>44218</x:v>
      </x:c>
      <x:c r="I158" t="str">
        <x:v>Aktif</x:v>
      </x:c>
      <x:c r="J158" s="5" t="n">
        <x:v>84</x:v>
      </x:c>
    </x:row>
    <x:row r="159">
      <x:c r="A159" t="str">
        <x:v>EMP158</x:v>
      </x:c>
      <x:c r="B159" t="str">
        <x:v>Hendra Permata</x:v>
      </x:c>
      <x:c r="C159" t="str">
        <x:v>Mekanik</x:v>
      </x:c>
      <x:c r="D159" t="str">
        <x:v>OPERATIONAL &amp; COMMERCIAL</x:v>
      </x:c>
      <x:c r="E159" s="3" t="n">
        <x:v>7250000</x:v>
      </x:c>
      <x:c r="F159" t="str">
        <x:v>Laki-laki</x:v>
      </x:c>
      <x:c r="G159" t="str">
        <x:v>Belum Menikah</x:v>
      </x:c>
      <x:c r="H159" s="4" t="n">
        <x:v>44615</x:v>
      </x:c>
      <x:c r="I159" t="str">
        <x:v>Aktif</x:v>
      </x:c>
      <x:c r="J159" s="5" t="n">
        <x:v>91</x:v>
      </x:c>
    </x:row>
    <x:row r="160">
      <x:c r="A160" t="str">
        <x:v>EMP159</x:v>
      </x:c>
      <x:c r="B160" t="str">
        <x:v>Indah Permata</x:v>
      </x:c>
      <x:c r="C160" t="str">
        <x:v>Mekanik</x:v>
      </x:c>
      <x:c r="D160" t="str">
        <x:v>OPERATIONAL &amp; COMMERCIAL</x:v>
      </x:c>
      <x:c r="E160" s="3" t="n">
        <x:v>7500000</x:v>
      </x:c>
      <x:c r="F160" t="str">
        <x:v>Laki-laki</x:v>
      </x:c>
      <x:c r="G160" t="str">
        <x:v>Belum Menikah</x:v>
      </x:c>
      <x:c r="H160" s="4" t="n">
        <x:v>45009</x:v>
      </x:c>
      <x:c r="I160" t="str">
        <x:v>Aktif</x:v>
      </x:c>
      <x:c r="J160" s="5" t="n">
        <x:v>98</x:v>
      </x:c>
    </x:row>
    <x:row r="161">
      <x:c r="A161" t="str">
        <x:v>EMP160</x:v>
      </x:c>
      <x:c r="B161" t="str">
        <x:v>Joko Permata</x:v>
      </x:c>
      <x:c r="C161" t="str">
        <x:v>Staff Gudang</x:v>
      </x:c>
      <x:c r="D161" t="str">
        <x:v>OPERATIONAL &amp; COMMERCIAL</x:v>
      </x:c>
      <x:c r="E161" s="3" t="n">
        <x:v>6750000</x:v>
      </x:c>
      <x:c r="F161" t="str">
        <x:v>Laki-laki</x:v>
      </x:c>
      <x:c r="G161" t="str">
        <x:v>Menikah</x:v>
      </x:c>
      <x:c r="H161" s="4" t="n">
        <x:v>45407</x:v>
      </x:c>
      <x:c r="I161" t="str">
        <x:v>Aktif</x:v>
      </x:c>
      <x:c r="J161" s="5" t="n">
        <x:v>78</x:v>
      </x:c>
    </x:row>
    <x:row r="162">
      <x:c r="A162" t="str">
        <x:v>EMP161</x:v>
      </x:c>
      <x:c r="B162" t="str">
        <x:v>Kartika Permata</x:v>
      </x:c>
      <x:c r="C162" t="str">
        <x:v>Staff Gudang</x:v>
      </x:c>
      <x:c r="D162" t="str">
        <x:v>OPERATIONAL &amp; COMMERCIAL</x:v>
      </x:c>
      <x:c r="E162" s="3" t="n">
        <x:v>6000000</x:v>
      </x:c>
      <x:c r="F162" t="str">
        <x:v>Laki-laki</x:v>
      </x:c>
      <x:c r="G162" t="str">
        <x:v>Belum Menikah</x:v>
      </x:c>
      <x:c r="H162" s="4" t="n">
        <x:v>45803</x:v>
      </x:c>
      <x:c r="I162" t="str">
        <x:v>Kontrak</x:v>
      </x:c>
      <x:c r="J162" s="5" t="n">
        <x:v>85</x:v>
      </x:c>
    </x:row>
    <x:row r="163">
      <x:c r="A163" t="str">
        <x:v>EMP162</x:v>
      </x:c>
      <x:c r="B163" t="str">
        <x:v>Lukman Permata</x:v>
      </x:c>
      <x:c r="C163" t="str">
        <x:v>Staff Gudang</x:v>
      </x:c>
      <x:c r="D163" t="str">
        <x:v>OPERATIONAL &amp; COMMERCIAL</x:v>
      </x:c>
      <x:c r="E163" s="3" t="n">
        <x:v>6250000</x:v>
      </x:c>
      <x:c r="F163" t="str">
        <x:v>Perempuan</x:v>
      </x:c>
      <x:c r="G163" t="str">
        <x:v>Belum Menikah</x:v>
      </x:c>
      <x:c r="H163" s="4" t="n">
        <x:v>46200</x:v>
      </x:c>
      <x:c r="I163" t="str">
        <x:v>Aktif</x:v>
      </x:c>
      <x:c r="J163" s="5" t="n">
        <x:v>92</x:v>
      </x:c>
    </x:row>
    <x:row r="164">
      <x:c r="A164" t="str">
        <x:v>EMP163</x:v>
      </x:c>
      <x:c r="B164" t="str">
        <x:v>Maya Permata</x:v>
      </x:c>
      <x:c r="C164" t="str">
        <x:v>Staff Gudang</x:v>
      </x:c>
      <x:c r="D164" t="str">
        <x:v>OPERATIONAL &amp; COMMERCIAL</x:v>
      </x:c>
      <x:c r="E164" s="3" t="n">
        <x:v>6500000</x:v>
      </x:c>
      <x:c r="F164" t="str">
        <x:v>Laki-laki</x:v>
      </x:c>
      <x:c r="G164" t="str">
        <x:v>Menikah</x:v>
      </x:c>
      <x:c r="H164" s="4" t="n">
        <x:v>43282</x:v>
      </x:c>
      <x:c r="I164" t="str">
        <x:v>Aktif</x:v>
      </x:c>
      <x:c r="J164" s="5" t="n">
        <x:v>72</x:v>
      </x:c>
    </x:row>
    <x:row r="165">
      <x:c r="A165" t="str">
        <x:v>EMP164</x:v>
      </x:c>
      <x:c r="B165" t="str">
        <x:v>Naufal Permata</x:v>
      </x:c>
      <x:c r="C165" t="str">
        <x:v>OW</x:v>
      </x:c>
      <x:c r="D165" t="str">
        <x:v>OPERATIONAL &amp; COMMERCIAL</x:v>
      </x:c>
      <x:c r="E165" s="3" t="n">
        <x:v>5550000</x:v>
      </x:c>
      <x:c r="F165" t="str">
        <x:v>Laki-laki</x:v>
      </x:c>
      <x:c r="G165" t="str">
        <x:v>Belum Menikah</x:v>
      </x:c>
      <x:c r="H165" s="4" t="n">
        <x:v>43679</x:v>
      </x:c>
      <x:c r="I165" t="str">
        <x:v>Aktif</x:v>
      </x:c>
      <x:c r="J165" s="5" t="n">
        <x:v>79</x:v>
      </x:c>
    </x:row>
    <x:row r="166">
      <x:c r="A166" t="str">
        <x:v>EMP165</x:v>
      </x:c>
      <x:c r="B166" t="str">
        <x:v>Oktavia Permata</x:v>
      </x:c>
      <x:c r="C166" t="str">
        <x:v>OW</x:v>
      </x:c>
      <x:c r="D166" t="str">
        <x:v>OPERATIONAL &amp; COMMERCIAL</x:v>
      </x:c>
      <x:c r="E166" s="3" t="n">
        <x:v>4800000</x:v>
      </x:c>
      <x:c r="F166" t="str">
        <x:v>Laki-laki</x:v>
      </x:c>
      <x:c r="G166" t="str">
        <x:v>Belum Menikah</x:v>
      </x:c>
      <x:c r="H166" s="4" t="n">
        <x:v>44077</x:v>
      </x:c>
      <x:c r="I166" t="str">
        <x:v>Aktif</x:v>
      </x:c>
      <x:c r="J166" s="5" t="n">
        <x:v>86</x:v>
      </x:c>
    </x:row>
    <x:row r="167">
      <x:c r="A167" t="str">
        <x:v>EMP166</x:v>
      </x:c>
      <x:c r="B167" t="str">
        <x:v>Putra Permata</x:v>
      </x:c>
      <x:c r="C167" t="str">
        <x:v>OW</x:v>
      </x:c>
      <x:c r="D167" t="str">
        <x:v>OPERATIONAL &amp; COMMERCIAL</x:v>
      </x:c>
      <x:c r="E167" s="3" t="n">
        <x:v>5050000</x:v>
      </x:c>
      <x:c r="F167" t="str">
        <x:v>Laki-laki</x:v>
      </x:c>
      <x:c r="G167" t="str">
        <x:v>Menikah</x:v>
      </x:c>
      <x:c r="H167" s="4" t="n">
        <x:v>44473</x:v>
      </x:c>
      <x:c r="I167" t="str">
        <x:v>Aktif</x:v>
      </x:c>
      <x:c r="J167" s="5" t="n">
        <x:v>93</x:v>
      </x:c>
    </x:row>
    <x:row r="168">
      <x:c r="A168" t="str">
        <x:v>EMP167</x:v>
      </x:c>
      <x:c r="B168" t="str">
        <x:v>Qori Permata</x:v>
      </x:c>
      <x:c r="C168" t="str">
        <x:v>Operator FGD</x:v>
      </x:c>
      <x:c r="D168" t="str">
        <x:v>OPERATIONAL &amp; COMMERCIAL</x:v>
      </x:c>
      <x:c r="E168" s="3" t="n">
        <x:v>6000000</x:v>
      </x:c>
      <x:c r="F168" t="str">
        <x:v>Laki-laki</x:v>
      </x:c>
      <x:c r="G168" t="str">
        <x:v>Belum Menikah</x:v>
      </x:c>
      <x:c r="H168" s="4" t="n">
        <x:v>44870</x:v>
      </x:c>
      <x:c r="I168" t="str">
        <x:v>Aktif</x:v>
      </x:c>
      <x:c r="J168" s="5" t="n">
        <x:v>73</x:v>
      </x:c>
    </x:row>
    <x:row r="169">
      <x:c r="A169" t="str">
        <x:v>EMP168</x:v>
      </x:c>
      <x:c r="B169" t="str">
        <x:v>Rizky Permata</x:v>
      </x:c>
      <x:c r="C169" t="str">
        <x:v>Operator FGD</x:v>
      </x:c>
      <x:c r="D169" t="str">
        <x:v>OPERATIONAL &amp; COMMERCIAL</x:v>
      </x:c>
      <x:c r="E169" s="3" t="n">
        <x:v>6250000</x:v>
      </x:c>
      <x:c r="F169" t="str">
        <x:v>Laki-laki</x:v>
      </x:c>
      <x:c r="G169" t="str">
        <x:v>Belum Menikah</x:v>
      </x:c>
      <x:c r="H169" s="4" t="n">
        <x:v>45266</x:v>
      </x:c>
      <x:c r="I169" t="str">
        <x:v>Aktif</x:v>
      </x:c>
      <x:c r="J169" s="5" t="n">
        <x:v>80</x:v>
      </x:c>
    </x:row>
    <x:row r="170">
      <x:c r="A170" t="str">
        <x:v>EMP169</x:v>
      </x:c>
      <x:c r="B170" t="str">
        <x:v>Sari Permata</x:v>
      </x:c>
      <x:c r="C170" t="str">
        <x:v>Operator FGD</x:v>
      </x:c>
      <x:c r="D170" t="str">
        <x:v>OPERATIONAL &amp; COMMERCIAL</x:v>
      </x:c>
      <x:c r="E170" s="3" t="n">
        <x:v>5500000</x:v>
      </x:c>
      <x:c r="F170" t="str">
        <x:v>Perempuan</x:v>
      </x:c>
      <x:c r="G170" t="str">
        <x:v>Menikah</x:v>
      </x:c>
      <x:c r="H170" s="4" t="n">
        <x:v>45298</x:v>
      </x:c>
      <x:c r="I170" t="str">
        <x:v>Aktif</x:v>
      </x:c>
      <x:c r="J170" s="5" t="n">
        <x:v>87</x:v>
      </x:c>
    </x:row>
    <x:row r="171">
      <x:c r="A171" t="str">
        <x:v>EMP170</x:v>
      </x:c>
      <x:c r="B171" t="str">
        <x:v>Taufik Permata</x:v>
      </x:c>
      <x:c r="C171" t="str">
        <x:v>Operator FGD</x:v>
      </x:c>
      <x:c r="D171" t="str">
        <x:v>OPERATIONAL &amp; COMMERCIAL</x:v>
      </x:c>
      <x:c r="E171" s="3" t="n">
        <x:v>5750000</x:v>
      </x:c>
      <x:c r="F171" t="str">
        <x:v>Laki-laki</x:v>
      </x:c>
      <x:c r="G171" t="str">
        <x:v>Belum Menikah</x:v>
      </x:c>
      <x:c r="H171" s="4" t="n">
        <x:v>45696</x:v>
      </x:c>
      <x:c r="I171" t="str">
        <x:v>Aktif</x:v>
      </x:c>
      <x:c r="J171" s="5" t="n">
        <x:v>94</x:v>
      </x:c>
    </x:row>
    <x:row r="172">
      <x:c r="A172" t="str">
        <x:v>EMP171</x:v>
      </x:c>
      <x:c r="B172" t="str">
        <x:v>Utami Permata</x:v>
      </x:c>
      <x:c r="C172" t="str">
        <x:v>Operator FGD</x:v>
      </x:c>
      <x:c r="D172" t="str">
        <x:v>OPERATIONAL &amp; COMMERCIAL</x:v>
      </x:c>
      <x:c r="E172" s="3" t="n">
        <x:v>6000000</x:v>
      </x:c>
      <x:c r="F172" t="str">
        <x:v>Laki-laki</x:v>
      </x:c>
      <x:c r="G172" t="str">
        <x:v>Belum Menikah</x:v>
      </x:c>
      <x:c r="H172" s="4" t="n">
        <x:v>46090</x:v>
      </x:c>
      <x:c r="I172" t="str">
        <x:v>Kontrak</x:v>
      </x:c>
      <x:c r="J172" s="5" t="n">
        <x:v>74</x:v>
      </x:c>
    </x:row>
    <x:row r="173">
      <x:c r="A173" t="str">
        <x:v>EMP172</x:v>
      </x:c>
      <x:c r="B173" t="str">
        <x:v>Vina Permata</x:v>
      </x:c>
      <x:c r="C173" t="str">
        <x:v>Operator FGD</x:v>
      </x:c>
      <x:c r="D173" t="str">
        <x:v>OPERATIONAL &amp; COMMERCIAL</x:v>
      </x:c>
      <x:c r="E173" s="3" t="n">
        <x:v>6250000</x:v>
      </x:c>
      <x:c r="F173" t="str">
        <x:v>Laki-laki</x:v>
      </x:c>
      <x:c r="G173" t="str">
        <x:v>Menikah</x:v>
      </x:c>
      <x:c r="H173" s="4" t="n">
        <x:v>43200</x:v>
      </x:c>
      <x:c r="I173" t="str">
        <x:v>Aktif</x:v>
      </x:c>
      <x:c r="J173" s="5" t="n">
        <x:v>81</x:v>
      </x:c>
    </x:row>
    <x:row r="174">
      <x:c r="A174" t="str">
        <x:v>EMP173</x:v>
      </x:c>
      <x:c r="B174" t="str">
        <x:v>Wahyu Permata</x:v>
      </x:c>
      <x:c r="C174" t="str">
        <x:v>Mekanik FABA</x:v>
      </x:c>
      <x:c r="D174" t="str">
        <x:v>OPERATIONAL &amp; COMMERCIAL</x:v>
      </x:c>
      <x:c r="E174" s="3" t="n">
        <x:v>7000000</x:v>
      </x:c>
      <x:c r="F174" t="str">
        <x:v>Laki-laki</x:v>
      </x:c>
      <x:c r="G174" t="str">
        <x:v>Belum Menikah</x:v>
      </x:c>
      <x:c r="H174" s="4" t="n">
        <x:v>43596</x:v>
      </x:c>
      <x:c r="I174" t="str">
        <x:v>Aktif</x:v>
      </x:c>
      <x:c r="J174" s="5" t="n">
        <x:v>88</x:v>
      </x:c>
    </x:row>
    <x:row r="175">
      <x:c r="A175" t="str">
        <x:v>EMP174</x:v>
      </x:c>
      <x:c r="B175" t="str">
        <x:v>Yuni Permata</x:v>
      </x:c>
      <x:c r="C175" t="str">
        <x:v>Mekanik FABA</x:v>
      </x:c>
      <x:c r="D175" t="str">
        <x:v>OPERATIONAL &amp; COMMERCIAL</x:v>
      </x:c>
      <x:c r="E175" s="3" t="n">
        <x:v>7250000</x:v>
      </x:c>
      <x:c r="F175" t="str">
        <x:v>Laki-laki</x:v>
      </x:c>
      <x:c r="G175" t="str">
        <x:v>Belum Menikah</x:v>
      </x:c>
      <x:c r="H175" s="4" t="n">
        <x:v>43994</x:v>
      </x:c>
      <x:c r="I175" t="str">
        <x:v>Aktif</x:v>
      </x:c>
      <x:c r="J175" s="5" t="n">
        <x:v>95</x:v>
      </x:c>
    </x:row>
    <x:row r="176">
      <x:c r="A176" t="str">
        <x:v>EMP175</x:v>
      </x:c>
      <x:c r="B176" t="str">
        <x:v>Zaki Permata</x:v>
      </x:c>
      <x:c r="C176" t="str">
        <x:v>Mekanik FABA</x:v>
      </x:c>
      <x:c r="D176" t="str">
        <x:v>OPERATIONAL &amp; COMMERCIAL</x:v>
      </x:c>
      <x:c r="E176" s="3" t="n">
        <x:v>7500000</x:v>
      </x:c>
      <x:c r="F176" t="str">
        <x:v>Laki-laki</x:v>
      </x:c>
      <x:c r="G176" t="str">
        <x:v>Menikah</x:v>
      </x:c>
      <x:c r="H176" s="4" t="n">
        <x:v>44390</x:v>
      </x:c>
      <x:c r="I176" t="str">
        <x:v>Aktif</x:v>
      </x:c>
      <x:c r="J176" s="5" t="n">
        <x:v>75</x:v>
      </x:c>
    </x:row>
    <x:row r="177">
      <x:c r="A177" t="str">
        <x:v>EMP176</x:v>
      </x:c>
      <x:c r="B177" t="str">
        <x:v>Andi Kurniawan</x:v>
      </x:c>
      <x:c r="C177" t="str">
        <x:v>Mekanik FABA</x:v>
      </x:c>
      <x:c r="D177" t="str">
        <x:v>OPERATIONAL &amp; COMMERCIAL</x:v>
      </x:c>
      <x:c r="E177" s="3" t="n">
        <x:v>7750000</x:v>
      </x:c>
      <x:c r="F177" t="str">
        <x:v>Perempuan</x:v>
      </x:c>
      <x:c r="G177" t="str">
        <x:v>Belum Menikah</x:v>
      </x:c>
      <x:c r="H177" s="4" t="n">
        <x:v>44787</x:v>
      </x:c>
      <x:c r="I177" t="str">
        <x:v>Aktif</x:v>
      </x:c>
      <x:c r="J177" s="5" t="n">
        <x:v>82</x:v>
      </x:c>
    </x:row>
    <x:row r="178">
      <x:c r="A178" t="str">
        <x:v>EMP177</x:v>
      </x:c>
      <x:c r="B178" t="str">
        <x:v>Budi Kurniawan</x:v>
      </x:c>
      <x:c r="C178" t="str">
        <x:v>Operator FABA</x:v>
      </x:c>
      <x:c r="D178" t="str">
        <x:v>OPERATIONAL &amp; COMMERCIAL</x:v>
      </x:c>
      <x:c r="E178" s="3" t="n">
        <x:v>5500000</x:v>
      </x:c>
      <x:c r="F178" t="str">
        <x:v>Laki-laki</x:v>
      </x:c>
      <x:c r="G178" t="str">
        <x:v>Belum Menikah</x:v>
      </x:c>
      <x:c r="H178" s="4" t="n">
        <x:v>45184</x:v>
      </x:c>
      <x:c r="I178" t="str">
        <x:v>Aktif</x:v>
      </x:c>
      <x:c r="J178" s="5" t="n">
        <x:v>89</x:v>
      </x:c>
    </x:row>
    <x:row r="179">
      <x:c r="A179" t="str">
        <x:v>EMP178</x:v>
      </x:c>
      <x:c r="B179" t="str">
        <x:v>Citra Kurniawan</x:v>
      </x:c>
      <x:c r="C179" t="str">
        <x:v>Operator FABA</x:v>
      </x:c>
      <x:c r="D179" t="str">
        <x:v>OPERATIONAL &amp; COMMERCIAL</x:v>
      </x:c>
      <x:c r="E179" s="3" t="n">
        <x:v>5750000</x:v>
      </x:c>
      <x:c r="F179" t="str">
        <x:v>Laki-laki</x:v>
      </x:c>
      <x:c r="G179" t="str">
        <x:v>Menikah</x:v>
      </x:c>
      <x:c r="H179" s="4" t="n">
        <x:v>45581</x:v>
      </x:c>
      <x:c r="I179" t="str">
        <x:v>Aktif</x:v>
      </x:c>
      <x:c r="J179" s="5" t="n">
        <x:v>96</x:v>
      </x:c>
    </x:row>
    <x:row r="180">
      <x:c r="A180" t="str">
        <x:v>EMP179</x:v>
      </x:c>
      <x:c r="B180" t="str">
        <x:v>Dedi Kurniawan</x:v>
      </x:c>
      <x:c r="C180" t="str">
        <x:v>Operator FABA</x:v>
      </x:c>
      <x:c r="D180" t="str">
        <x:v>OPERATIONAL &amp; COMMERCIAL</x:v>
      </x:c>
      <x:c r="E180" s="3" t="n">
        <x:v>6000000</x:v>
      </x:c>
      <x:c r="F180" t="str">
        <x:v>Laki-laki</x:v>
      </x:c>
      <x:c r="G180" t="str">
        <x:v>Belum Menikah</x:v>
      </x:c>
      <x:c r="H180" s="4" t="n">
        <x:v>45978</x:v>
      </x:c>
      <x:c r="I180" t="str">
        <x:v>Aktif</x:v>
      </x:c>
      <x:c r="J180" s="5" t="n">
        <x:v>76</x:v>
      </x:c>
    </x:row>
    <x:row r="181">
      <x:c r="A181" t="str">
        <x:v>EMP180</x:v>
      </x:c>
      <x:c r="B181" t="str">
        <x:v>Eka Kurniawan</x:v>
      </x:c>
      <x:c r="C181" t="str">
        <x:v>Operator FABA</x:v>
      </x:c>
      <x:c r="D181" t="str">
        <x:v>OPERATIONAL &amp; COMMERCIAL</x:v>
      </x:c>
      <x:c r="E181" s="3" t="n">
        <x:v>6250000</x:v>
      </x:c>
      <x:c r="F181" t="str">
        <x:v>Laki-laki</x:v>
      </x:c>
      <x:c r="G181" t="str">
        <x:v>Belum Menikah</x:v>
      </x:c>
      <x:c r="H181" s="4" t="n">
        <x:v>46374</x:v>
      </x:c>
      <x:c r="I181" t="str">
        <x:v>Aktif</x:v>
      </x:c>
      <x:c r="J181" s="5" t="n">
        <x:v>83</x:v>
      </x:c>
    </x:row>
    <x:row r="182">
      <x:c r="A182" t="str">
        <x:v>EMP181</x:v>
      </x:c>
      <x:c r="B182" t="str">
        <x:v>Fajar Kurniawan</x:v>
      </x:c>
      <x:c r="C182" t="str">
        <x:v>Operator FABA</x:v>
      </x:c>
      <x:c r="D182" t="str">
        <x:v>OPERATIONAL &amp; COMMERCIAL</x:v>
      </x:c>
      <x:c r="E182" s="3" t="n">
        <x:v>5500000</x:v>
      </x:c>
      <x:c r="F182" t="str">
        <x:v>Laki-laki</x:v>
      </x:c>
      <x:c r="G182" t="str">
        <x:v>Menikah</x:v>
      </x:c>
      <x:c r="H182" s="4" t="n">
        <x:v>43119</x:v>
      </x:c>
      <x:c r="I182" t="str">
        <x:v>Kontrak</x:v>
      </x:c>
      <x:c r="J182" s="5" t="n">
        <x:v>90</x:v>
      </x:c>
    </x:row>
    <x:row r="183">
      <x:c r="A183" t="str">
        <x:v>EMP182</x:v>
      </x:c>
      <x:c r="B183" t="str">
        <x:v>Gita Kurniawan</x:v>
      </x:c>
      <x:c r="C183" t="str">
        <x:v>Operator FABA</x:v>
      </x:c>
      <x:c r="D183" t="str">
        <x:v>OPERATIONAL &amp; COMMERCIAL</x:v>
      </x:c>
      <x:c r="E183" s="3" t="n">
        <x:v>5750000</x:v>
      </x:c>
      <x:c r="F183" t="str">
        <x:v>Laki-laki</x:v>
      </x:c>
      <x:c r="G183" t="str">
        <x:v>Belum Menikah</x:v>
      </x:c>
      <x:c r="H183" s="4" t="n">
        <x:v>43516</x:v>
      </x:c>
      <x:c r="I183" t="str">
        <x:v>Aktif</x:v>
      </x:c>
      <x:c r="J183" s="5" t="n">
        <x:v>97</x:v>
      </x:c>
    </x:row>
    <x:row r="184">
      <x:c r="A184" t="str">
        <x:v>EMP183</x:v>
      </x:c>
      <x:c r="B184" t="str">
        <x:v>Hendra Kurniawan</x:v>
      </x:c>
      <x:c r="C184" t="str">
        <x:v>Operator FABA</x:v>
      </x:c>
      <x:c r="D184" t="str">
        <x:v>OPERATIONAL &amp; COMMERCIAL</x:v>
      </x:c>
      <x:c r="E184" s="3" t="n">
        <x:v>6000000</x:v>
      </x:c>
      <x:c r="F184" t="str">
        <x:v>Perempuan</x:v>
      </x:c>
      <x:c r="G184" t="str">
        <x:v>Belum Menikah</x:v>
      </x:c>
      <x:c r="H184" s="4" t="n">
        <x:v>43911</x:v>
      </x:c>
      <x:c r="I184" t="str">
        <x:v>Aktif</x:v>
      </x:c>
      <x:c r="J184" s="5" t="n">
        <x:v>77</x:v>
      </x:c>
    </x:row>
    <x:row r="185">
      <x:c r="A185" t="str">
        <x:v>EMP184</x:v>
      </x:c>
      <x:c r="B185" t="str">
        <x:v>Indah Kurniawan</x:v>
      </x:c>
      <x:c r="C185" t="str">
        <x:v>Operator FABA</x:v>
      </x:c>
      <x:c r="D185" t="str">
        <x:v>OPERATIONAL &amp; COMMERCIAL</x:v>
      </x:c>
      <x:c r="E185" s="3" t="n">
        <x:v>6250000</x:v>
      </x:c>
      <x:c r="F185" t="str">
        <x:v>Laki-laki</x:v>
      </x:c>
      <x:c r="G185" t="str">
        <x:v>Menikah</x:v>
      </x:c>
      <x:c r="H185" s="4" t="n">
        <x:v>44308</x:v>
      </x:c>
      <x:c r="I185" t="str">
        <x:v>Aktif</x:v>
      </x:c>
      <x:c r="J185" s="5" t="n">
        <x:v>84</x:v>
      </x:c>
    </x:row>
    <x:row r="186">
      <x:c r="A186" t="str">
        <x:v>EMP185</x:v>
      </x:c>
      <x:c r="B186" t="str">
        <x:v>Joko Kurniawan</x:v>
      </x:c>
      <x:c r="C186" t="str">
        <x:v>Operator FABA</x:v>
      </x:c>
      <x:c r="D186" t="str">
        <x:v>OPERATIONAL &amp; COMMERCIAL</x:v>
      </x:c>
      <x:c r="E186" s="3" t="n">
        <x:v>5500000</x:v>
      </x:c>
      <x:c r="F186" t="str">
        <x:v>Laki-laki</x:v>
      </x:c>
      <x:c r="G186" t="str">
        <x:v>Belum Menikah</x:v>
      </x:c>
      <x:c r="H186" s="4" t="n">
        <x:v>44704</x:v>
      </x:c>
      <x:c r="I186" t="str">
        <x:v>Aktif</x:v>
      </x:c>
      <x:c r="J186" s="5" t="n">
        <x:v>91</x:v>
      </x:c>
    </x:row>
    <x:row r="187">
      <x:c r="A187" t="str">
        <x:v>EMP186</x:v>
      </x:c>
      <x:c r="B187" t="str">
        <x:v>Kartika Kurniawan</x:v>
      </x:c>
      <x:c r="C187" t="str">
        <x:v>Supervisor Conveyor</x:v>
      </x:c>
      <x:c r="D187" t="str">
        <x:v>OPERATIONAL &amp; COMMERCIAL</x:v>
      </x:c>
      <x:c r="E187" s="3" t="n">
        <x:v>9750000</x:v>
      </x:c>
      <x:c r="F187" t="str">
        <x:v>Laki-laki</x:v>
      </x:c>
      <x:c r="G187" t="str">
        <x:v>Belum Menikah</x:v>
      </x:c>
      <x:c r="H187" s="4" t="n">
        <x:v>45101</x:v>
      </x:c>
      <x:c r="I187" t="str">
        <x:v>Aktif</x:v>
      </x:c>
      <x:c r="J187" s="5" t="n">
        <x:v>98</x:v>
      </x:c>
    </x:row>
    <x:row r="188">
      <x:c r="A188" t="str">
        <x:v>EMP187</x:v>
      </x:c>
      <x:c r="B188" t="str">
        <x:v>Lukman Kurniawan</x:v>
      </x:c>
      <x:c r="C188" t="str">
        <x:v>Supervisor Conveyor</x:v>
      </x:c>
      <x:c r="D188" t="str">
        <x:v>OPERATIONAL &amp; COMMERCIAL</x:v>
      </x:c>
      <x:c r="E188" s="3" t="n">
        <x:v>10000000</x:v>
      </x:c>
      <x:c r="F188" t="str">
        <x:v>Laki-laki</x:v>
      </x:c>
      <x:c r="G188" t="str">
        <x:v>Menikah</x:v>
      </x:c>
      <x:c r="H188" s="4" t="n">
        <x:v>45498</x:v>
      </x:c>
      <x:c r="I188" t="str">
        <x:v>Aktif</x:v>
      </x:c>
      <x:c r="J188" s="5" t="n">
        <x:v>78</x:v>
      </x:c>
    </x:row>
    <x:row r="189">
      <x:c r="A189" t="str">
        <x:v>EMP188</x:v>
      </x:c>
      <x:c r="B189" t="str">
        <x:v>Maya Kurniawan</x:v>
      </x:c>
      <x:c r="C189" t="str">
        <x:v>Mekanik Conveyor</x:v>
      </x:c>
      <x:c r="D189" t="str">
        <x:v>OPERATIONAL &amp; COMMERCIAL</x:v>
      </x:c>
      <x:c r="E189" s="3" t="n">
        <x:v>7750000</x:v>
      </x:c>
      <x:c r="F189" t="str">
        <x:v>Laki-laki</x:v>
      </x:c>
      <x:c r="G189" t="str">
        <x:v>Belum Menikah</x:v>
      </x:c>
      <x:c r="H189" s="4" t="n">
        <x:v>45895</x:v>
      </x:c>
      <x:c r="I189" t="str">
        <x:v>Aktif</x:v>
      </x:c>
      <x:c r="J189" s="5" t="n">
        <x:v>85</x:v>
      </x:c>
    </x:row>
    <x:row r="190">
      <x:c r="A190" t="str">
        <x:v>EMP189</x:v>
      </x:c>
      <x:c r="B190" t="str">
        <x:v>Naufal Kurniawan</x:v>
      </x:c>
      <x:c r="C190" t="str">
        <x:v>Mekanik Conveyor</x:v>
      </x:c>
      <x:c r="D190" t="str">
        <x:v>OPERATIONAL &amp; COMMERCIAL</x:v>
      </x:c>
      <x:c r="E190" s="3" t="n">
        <x:v>7000000</x:v>
      </x:c>
      <x:c r="F190" t="str">
        <x:v>Laki-laki</x:v>
      </x:c>
      <x:c r="G190" t="str">
        <x:v>Belum Menikah</x:v>
      </x:c>
      <x:c r="H190" s="4" t="n">
        <x:v>46292</x:v>
      </x:c>
      <x:c r="I190" t="str">
        <x:v>Aktif</x:v>
      </x:c>
      <x:c r="J190" s="5" t="n">
        <x:v>92</x:v>
      </x:c>
    </x:row>
    <x:row r="191">
      <x:c r="A191" t="str">
        <x:v>EMP190</x:v>
      </x:c>
      <x:c r="B191" t="str">
        <x:v>Oktavia Kurniawan</x:v>
      </x:c>
      <x:c r="C191" t="str">
        <x:v>Mekanik Conveyor</x:v>
      </x:c>
      <x:c r="D191" t="str">
        <x:v>OPERATIONAL &amp; COMMERCIAL</x:v>
      </x:c>
      <x:c r="E191" s="3" t="n">
        <x:v>7250000</x:v>
      </x:c>
      <x:c r="F191" t="str">
        <x:v>Perempuan</x:v>
      </x:c>
      <x:c r="G191" t="str">
        <x:v>Menikah</x:v>
      </x:c>
      <x:c r="H191" s="4" t="n">
        <x:v>43374</x:v>
      </x:c>
      <x:c r="I191" t="str">
        <x:v>Aktif</x:v>
      </x:c>
      <x:c r="J191" s="5" t="n">
        <x:v>72</x:v>
      </x:c>
    </x:row>
    <x:row r="192">
      <x:c r="A192" t="str">
        <x:v>EMP191</x:v>
      </x:c>
      <x:c r="B192" t="str">
        <x:v>Putra Kurniawan</x:v>
      </x:c>
      <x:c r="C192" t="str">
        <x:v>Operator Conveyor</x:v>
      </x:c>
      <x:c r="D192" t="str">
        <x:v>OPERATIONAL &amp; COMMERCIAL</x:v>
      </x:c>
      <x:c r="E192" s="3" t="n">
        <x:v>6000000</x:v>
      </x:c>
      <x:c r="F192" t="str">
        <x:v>Laki-laki</x:v>
      </x:c>
      <x:c r="G192" t="str">
        <x:v>Belum Menikah</x:v>
      </x:c>
      <x:c r="H192" s="4" t="n">
        <x:v>43771</x:v>
      </x:c>
      <x:c r="I192" t="str">
        <x:v>Kontrak</x:v>
      </x:c>
      <x:c r="J192" s="5" t="n">
        <x:v>79</x:v>
      </x:c>
    </x:row>
    <x:row r="193">
      <x:c r="A193" t="str">
        <x:v>EMP192</x:v>
      </x:c>
      <x:c r="B193" t="str">
        <x:v>Qori Kurniawan</x:v>
      </x:c>
      <x:c r="C193" t="str">
        <x:v>Operator Conveyor</x:v>
      </x:c>
      <x:c r="D193" t="str">
        <x:v>OPERATIONAL &amp; COMMERCIAL</x:v>
      </x:c>
      <x:c r="E193" s="3" t="n">
        <x:v>6250000</x:v>
      </x:c>
      <x:c r="F193" t="str">
        <x:v>Laki-laki</x:v>
      </x:c>
      <x:c r="G193" t="str">
        <x:v>Belum Menikah</x:v>
      </x:c>
      <x:c r="H193" s="4" t="n">
        <x:v>44168</x:v>
      </x:c>
      <x:c r="I193" t="str">
        <x:v>Aktif</x:v>
      </x:c>
      <x:c r="J193" s="5" t="n">
        <x:v>86</x:v>
      </x:c>
    </x:row>
    <x:row r="194">
      <x:c r="A194" t="str">
        <x:v>EMP193</x:v>
      </x:c>
      <x:c r="B194" t="str">
        <x:v>Rizky Kurniawan</x:v>
      </x:c>
      <x:c r="C194" t="str">
        <x:v>Operator Conveyor</x:v>
      </x:c>
      <x:c r="D194" t="str">
        <x:v>OPERATIONAL &amp; COMMERCIAL</x:v>
      </x:c>
      <x:c r="E194" s="3" t="n">
        <x:v>5500000</x:v>
      </x:c>
      <x:c r="F194" t="str">
        <x:v>Laki-laki</x:v>
      </x:c>
      <x:c r="G194" t="str">
        <x:v>Menikah</x:v>
      </x:c>
      <x:c r="H194" s="4" t="n">
        <x:v>44200</x:v>
      </x:c>
      <x:c r="I194" t="str">
        <x:v>Aktif</x:v>
      </x:c>
      <x:c r="J194" s="5" t="n">
        <x:v>93</x:v>
      </x:c>
    </x:row>
    <x:row r="195">
      <x:c r="A195" t="str">
        <x:v>EMP194</x:v>
      </x:c>
      <x:c r="B195" t="str">
        <x:v>Sari Kurniawan</x:v>
      </x:c>
      <x:c r="C195" t="str">
        <x:v>Operator Conveyor</x:v>
      </x:c>
      <x:c r="D195" t="str">
        <x:v>OPERATIONAL &amp; COMMERCIAL</x:v>
      </x:c>
      <x:c r="E195" s="3" t="n">
        <x:v>5750000</x:v>
      </x:c>
      <x:c r="F195" t="str">
        <x:v>Laki-laki</x:v>
      </x:c>
      <x:c r="G195" t="str">
        <x:v>Belum Menikah</x:v>
      </x:c>
      <x:c r="H195" s="4" t="n">
        <x:v>44597</x:v>
      </x:c>
      <x:c r="I195" t="str">
        <x:v>Aktif</x:v>
      </x:c>
      <x:c r="J195" s="5" t="n">
        <x:v>73</x:v>
      </x:c>
    </x:row>
    <x:row r="196">
      <x:c r="A196" t="str">
        <x:v>EMP195</x:v>
      </x:c>
      <x:c r="B196" t="str">
        <x:v>Taufik Kurniawan</x:v>
      </x:c>
      <x:c r="C196" t="str">
        <x:v>Operator Conveyor</x:v>
      </x:c>
      <x:c r="D196" t="str">
        <x:v>OPERATIONAL &amp; COMMERCIAL</x:v>
      </x:c>
      <x:c r="E196" s="3" t="n">
        <x:v>6000000</x:v>
      </x:c>
      <x:c r="F196" t="str">
        <x:v>Laki-laki</x:v>
      </x:c>
      <x:c r="G196" t="str">
        <x:v>Belum Menikah</x:v>
      </x:c>
      <x:c r="H196" s="4" t="n">
        <x:v>44991</x:v>
      </x:c>
      <x:c r="I196" t="str">
        <x:v>Aktif</x:v>
      </x:c>
      <x:c r="J196" s="5" t="n">
        <x:v>80</x:v>
      </x:c>
    </x:row>
    <x:row r="197">
      <x:c r="A197" t="str">
        <x:v>EMP196</x:v>
      </x:c>
      <x:c r="B197" t="str">
        <x:v>Utami Kurniawan</x:v>
      </x:c>
      <x:c r="C197" t="str">
        <x:v>Operator Conveyor</x:v>
      </x:c>
      <x:c r="D197" t="str">
        <x:v>OPERATIONAL &amp; COMMERCIAL</x:v>
      </x:c>
      <x:c r="E197" s="3" t="n">
        <x:v>6250000</x:v>
      </x:c>
      <x:c r="F197" t="str">
        <x:v>Laki-laki</x:v>
      </x:c>
      <x:c r="G197" t="str">
        <x:v>Menikah</x:v>
      </x:c>
      <x:c r="H197" s="4" t="n">
        <x:v>45389</x:v>
      </x:c>
      <x:c r="I197" t="str">
        <x:v>Aktif</x:v>
      </x:c>
      <x:c r="J197" s="5" t="n">
        <x:v>87</x:v>
      </x:c>
    </x:row>
    <x:row r="198">
      <x:c r="A198" t="str">
        <x:v>EMP197</x:v>
      </x:c>
      <x:c r="B198" t="str">
        <x:v>Vina Kurniawan</x:v>
      </x:c>
      <x:c r="C198" t="str">
        <x:v>Operator Conveyor</x:v>
      </x:c>
      <x:c r="D198" t="str">
        <x:v>OPERATIONAL &amp; COMMERCIAL</x:v>
      </x:c>
      <x:c r="E198" s="3" t="n">
        <x:v>5500000</x:v>
      </x:c>
      <x:c r="F198" t="str">
        <x:v>Perempuan</x:v>
      </x:c>
      <x:c r="G198" t="str">
        <x:v>Belum Menikah</x:v>
      </x:c>
      <x:c r="H198" s="4" t="n">
        <x:v>45785</x:v>
      </x:c>
      <x:c r="I198" t="str">
        <x:v>Aktif</x:v>
      </x:c>
      <x:c r="J198" s="5" t="n">
        <x:v>94</x:v>
      </x:c>
    </x:row>
    <x:row r="199">
      <x:c r="A199" t="str">
        <x:v>EMP198</x:v>
      </x:c>
      <x:c r="B199" t="str">
        <x:v>Wahyu Kurniawan</x:v>
      </x:c>
      <x:c r="C199" t="str">
        <x:v>Biopori</x:v>
      </x:c>
      <x:c r="D199" t="str">
        <x:v>OPERATIONAL &amp; COMMERCIAL</x:v>
      </x:c>
      <x:c r="E199" s="3" t="n">
        <x:v>5050000</x:v>
      </x:c>
      <x:c r="F199" t="str">
        <x:v>Laki-laki</x:v>
      </x:c>
      <x:c r="G199" t="str">
        <x:v>Belum Menikah</x:v>
      </x:c>
      <x:c r="H199" s="4" t="n">
        <x:v>46182</x:v>
      </x:c>
      <x:c r="I199" t="str">
        <x:v>Aktif</x:v>
      </x:c>
      <x:c r="J199" s="5" t="n">
        <x:v>74</x:v>
      </x:c>
    </x:row>
    <x:row r="200">
      <x:c r="A200" t="str">
        <x:v>EMP199</x:v>
      </x:c>
      <x:c r="B200" t="str">
        <x:v>Yuni Kurniawan</x:v>
      </x:c>
      <x:c r="C200" t="str">
        <x:v>Biopori</x:v>
      </x:c>
      <x:c r="D200" t="str">
        <x:v>OPERATIONAL &amp; COMMERCIAL</x:v>
      </x:c>
      <x:c r="E200" s="3" t="n">
        <x:v>5300000</x:v>
      </x:c>
      <x:c r="F200" t="str">
        <x:v>Laki-laki</x:v>
      </x:c>
      <x:c r="G200" t="str">
        <x:v>Menikah</x:v>
      </x:c>
      <x:c r="H200" s="4" t="n">
        <x:v>43291</x:v>
      </x:c>
      <x:c r="I200" t="str">
        <x:v>Aktif</x:v>
      </x:c>
      <x:c r="J200" s="5" t="n">
        <x:v>81</x:v>
      </x:c>
    </x:row>
    <x:row r="201">
      <x:c r="A201" t="str">
        <x:v>EMP200</x:v>
      </x:c>
      <x:c r="B201" t="str">
        <x:v>Zaki Kurniawan</x:v>
      </x:c>
      <x:c r="C201" t="str">
        <x:v>Biopori</x:v>
      </x:c>
      <x:c r="D201" t="str">
        <x:v>OPERATIONAL &amp; COMMERCIAL</x:v>
      </x:c>
      <x:c r="E201" s="3" t="n">
        <x:v>5550000</x:v>
      </x:c>
      <x:c r="F201" t="str">
        <x:v>Laki-laki</x:v>
      </x:c>
      <x:c r="G201" t="str">
        <x:v>Belum Menikah</x:v>
      </x:c>
      <x:c r="H201" s="4" t="n">
        <x:v>43688</x:v>
      </x:c>
      <x:c r="I201" t="str">
        <x:v>Aktif</x:v>
      </x:c>
      <x:c r="J201" s="5" t="n">
        <x:v>88</x:v>
      </x:c>
    </x:row>
    <x:row r="202">
      <x:c r="A202" t="str">
        <x:v>EMP201</x:v>
      </x:c>
      <x:c r="B202" t="str">
        <x:v>Andi Ramadhan</x:v>
      </x:c>
      <x:c r="C202" t="str">
        <x:v>Mekanik HEM TJB</x:v>
      </x:c>
      <x:c r="D202" t="str">
        <x:v>OPERATIONAL &amp; COMMERCIAL</x:v>
      </x:c>
      <x:c r="E202" s="3" t="n">
        <x:v>7000000</x:v>
      </x:c>
      <x:c r="F202" t="str">
        <x:v>Laki-laki</x:v>
      </x:c>
      <x:c r="G202" t="str">
        <x:v>Belum Menikah</x:v>
      </x:c>
      <x:c r="H202" s="4" t="n">
        <x:v>44086</x:v>
      </x:c>
      <x:c r="I202" t="str">
        <x:v>Kontrak</x:v>
      </x:c>
      <x:c r="J202" s="5" t="n">
        <x:v>95</x:v>
      </x:c>
    </x:row>
    <x:row r="203">
      <x:c r="A203" t="str">
        <x:v>EMP202</x:v>
      </x:c>
      <x:c r="B203" t="str">
        <x:v>Budi Ramadhan</x:v>
      </x:c>
      <x:c r="C203" t="str">
        <x:v>Mekanik HEM TJB</x:v>
      </x:c>
      <x:c r="D203" t="str">
        <x:v>OPERATIONAL &amp; COMMERCIAL</x:v>
      </x:c>
      <x:c r="E203" s="3" t="n">
        <x:v>7250000</x:v>
      </x:c>
      <x:c r="F203" t="str">
        <x:v>Laki-laki</x:v>
      </x:c>
      <x:c r="G203" t="str">
        <x:v>Menikah</x:v>
      </x:c>
      <x:c r="H203" s="4" t="n">
        <x:v>44482</x:v>
      </x:c>
      <x:c r="I203" t="str">
        <x:v>Aktif</x:v>
      </x:c>
      <x:c r="J203" s="5" t="n">
        <x:v>75</x:v>
      </x:c>
    </x:row>
    <x:row r="204">
      <x:c r="A204" t="str">
        <x:v>EMP203</x:v>
      </x:c>
      <x:c r="B204" t="str">
        <x:v>Citra Ramadhan</x:v>
      </x:c>
      <x:c r="C204" t="str">
        <x:v>Mekanik HEM TJB</x:v>
      </x:c>
      <x:c r="D204" t="str">
        <x:v>OPERATIONAL &amp; COMMERCIAL</x:v>
      </x:c>
      <x:c r="E204" s="3" t="n">
        <x:v>7500000</x:v>
      </x:c>
      <x:c r="F204" t="str">
        <x:v>Laki-laki</x:v>
      </x:c>
      <x:c r="G204" t="str">
        <x:v>Belum Menikah</x:v>
      </x:c>
      <x:c r="H204" s="4" t="n">
        <x:v>44879</x:v>
      </x:c>
      <x:c r="I204" t="str">
        <x:v>Aktif</x:v>
      </x:c>
      <x:c r="J204" s="5" t="n">
        <x:v>82</x:v>
      </x:c>
    </x:row>
    <x:row r="205">
      <x:c r="A205" t="str">
        <x:v>EMP204</x:v>
      </x:c>
      <x:c r="B205" t="str">
        <x:v>Dedi Ramadhan</x:v>
      </x:c>
      <x:c r="C205" t="str">
        <x:v>Mekanik HEM TJB</x:v>
      </x:c>
      <x:c r="D205" t="str">
        <x:v>OPERATIONAL &amp; COMMERCIAL</x:v>
      </x:c>
      <x:c r="E205" s="3" t="n">
        <x:v>7750000</x:v>
      </x:c>
      <x:c r="F205" t="str">
        <x:v>Perempuan</x:v>
      </x:c>
      <x:c r="G205" t="str">
        <x:v>Belum Menikah</x:v>
      </x:c>
      <x:c r="H205" s="4" t="n">
        <x:v>45275</x:v>
      </x:c>
      <x:c r="I205" t="str">
        <x:v>Aktif</x:v>
      </x:c>
      <x:c r="J205" s="5" t="n">
        <x:v>89</x:v>
      </x:c>
    </x:row>
    <x:row r="206">
      <x:c r="A206" t="str">
        <x:v>EMP205</x:v>
      </x:c>
      <x:c r="B206" t="str">
        <x:v>Eka Ramadhan</x:v>
      </x:c>
      <x:c r="C206" t="str">
        <x:v>Operator Roadsweeper</x:v>
      </x:c>
      <x:c r="D206" t="str">
        <x:v>OPERATIONAL &amp; COMMERCIAL</x:v>
      </x:c>
      <x:c r="E206" s="3" t="n">
        <x:v>5500000</x:v>
      </x:c>
      <x:c r="F206" t="str">
        <x:v>Laki-laki</x:v>
      </x:c>
      <x:c r="G206" t="str">
        <x:v>Menikah</x:v>
      </x:c>
      <x:c r="H206" s="4" t="n">
        <x:v>45307</x:v>
      </x:c>
      <x:c r="I206" t="str">
        <x:v>Aktif</x:v>
      </x:c>
      <x:c r="J206" s="5" t="n">
        <x:v>96</x:v>
      </x:c>
    </x:row>
    <x:row r="207">
      <x:c r="A207" t="str">
        <x:v>EMP206</x:v>
      </x:c>
      <x:c r="B207" t="str">
        <x:v>Fajar Ramadhan</x:v>
      </x:c>
      <x:c r="C207" t="str">
        <x:v>Operator Roadsweeper</x:v>
      </x:c>
      <x:c r="D207" t="str">
        <x:v>OPERATIONAL &amp; COMMERCIAL</x:v>
      </x:c>
      <x:c r="E207" s="3" t="n">
        <x:v>5750000</x:v>
      </x:c>
      <x:c r="F207" t="str">
        <x:v>Laki-laki</x:v>
      </x:c>
      <x:c r="G207" t="str">
        <x:v>Belum Menikah</x:v>
      </x:c>
      <x:c r="H207" s="4" t="n">
        <x:v>45705</x:v>
      </x:c>
      <x:c r="I207" t="str">
        <x:v>Aktif</x:v>
      </x:c>
      <x:c r="J207" s="5" t="n">
        <x:v>76</x:v>
      </x:c>
    </x:row>
    <x:row r="208">
      <x:c r="A208" t="str">
        <x:v>EMP207</x:v>
      </x:c>
      <x:c r="B208" t="str">
        <x:v>Gita Ramadhan</x:v>
      </x:c>
      <x:c r="C208" t="str">
        <x:v>Operator Roadsweeper</x:v>
      </x:c>
      <x:c r="D208" t="str">
        <x:v>OPERATIONAL &amp; COMMERCIAL</x:v>
      </x:c>
      <x:c r="E208" s="3" t="n">
        <x:v>6000000</x:v>
      </x:c>
      <x:c r="F208" t="str">
        <x:v>Laki-laki</x:v>
      </x:c>
      <x:c r="G208" t="str">
        <x:v>Belum Menikah</x:v>
      </x:c>
      <x:c r="H208" s="4" t="n">
        <x:v>46099</x:v>
      </x:c>
      <x:c r="I208" t="str">
        <x:v>Aktif</x:v>
      </x:c>
      <x:c r="J208" s="5" t="n">
        <x:v>83</x:v>
      </x:c>
    </x:row>
    <x:row r="209">
      <x:c r="A209" t="str">
        <x:v>EMP208</x:v>
      </x:c>
      <x:c r="B209" t="str">
        <x:v>Hendra Ramadhan</x:v>
      </x:c>
      <x:c r="C209" t="str">
        <x:v>Operator Roadsweeper</x:v>
      </x:c>
      <x:c r="D209" t="str">
        <x:v>OPERATIONAL &amp; COMMERCIAL</x:v>
      </x:c>
      <x:c r="E209" s="3" t="n">
        <x:v>6250000</x:v>
      </x:c>
      <x:c r="F209" t="str">
        <x:v>Laki-laki</x:v>
      </x:c>
      <x:c r="G209" t="str">
        <x:v>Menikah</x:v>
      </x:c>
      <x:c r="H209" s="4" t="n">
        <x:v>43209</x:v>
      </x:c>
      <x:c r="I209" t="str">
        <x:v>Aktif</x:v>
      </x:c>
      <x:c r="J209" s="5" t="n">
        <x:v>90</x:v>
      </x:c>
    </x:row>
    <x:row r="210">
      <x:c r="A210" t="str">
        <x:v>EMP209</x:v>
      </x:c>
      <x:c r="B210" t="str">
        <x:v>Indah Ramadhan</x:v>
      </x:c>
      <x:c r="C210" t="str">
        <x:v>Elektrik</x:v>
      </x:c>
      <x:c r="D210" t="str">
        <x:v>OPERATIONAL &amp; COMMERCIAL</x:v>
      </x:c>
      <x:c r="E210" s="3" t="n">
        <x:v>7000000</x:v>
      </x:c>
      <x:c r="F210" t="str">
        <x:v>Laki-laki</x:v>
      </x:c>
      <x:c r="G210" t="str">
        <x:v>Belum Menikah</x:v>
      </x:c>
      <x:c r="H210" s="4" t="n">
        <x:v>43605</x:v>
      </x:c>
      <x:c r="I210" t="str">
        <x:v>Aktif</x:v>
      </x:c>
      <x:c r="J210" s="5" t="n">
        <x:v>97</x:v>
      </x:c>
    </x:row>
    <x:row r="211">
      <x:c r="A211" t="str">
        <x:v>EMP210</x:v>
      </x:c>
      <x:c r="B211" t="str">
        <x:v>Joko Ramadhan</x:v>
      </x:c>
      <x:c r="C211" t="str">
        <x:v>Elektrik</x:v>
      </x:c>
      <x:c r="D211" t="str">
        <x:v>OPERATIONAL &amp; COMMERCIAL</x:v>
      </x:c>
      <x:c r="E211" s="3" t="n">
        <x:v>7250000</x:v>
      </x:c>
      <x:c r="F211" t="str">
        <x:v>Laki-laki</x:v>
      </x:c>
      <x:c r="G211" t="str">
        <x:v>Belum Menikah</x:v>
      </x:c>
      <x:c r="H211" s="4" t="n">
        <x:v>44003</x:v>
      </x:c>
      <x:c r="I211" t="str">
        <x:v>Aktif</x:v>
      </x:c>
      <x:c r="J211" s="5" t="n">
        <x:v>77</x:v>
      </x:c>
    </x:row>
    <x:row r="212">
      <x:c r="A212" t="str">
        <x:v>EMP211</x:v>
      </x:c>
      <x:c r="B212" t="str">
        <x:v>Kartika Ramadhan</x:v>
      </x:c>
      <x:c r="C212" t="str">
        <x:v>Elektrik</x:v>
      </x:c>
      <x:c r="D212" t="str">
        <x:v>OPERATIONAL &amp; COMMERCIAL</x:v>
      </x:c>
      <x:c r="E212" s="3" t="n">
        <x:v>7500000</x:v>
      </x:c>
      <x:c r="F212" t="str">
        <x:v>Perempuan</x:v>
      </x:c>
      <x:c r="G212" t="str">
        <x:v>Menikah</x:v>
      </x:c>
      <x:c r="H212" s="4" t="n">
        <x:v>44399</x:v>
      </x:c>
      <x:c r="I212" t="str">
        <x:v>Kontrak</x:v>
      </x:c>
      <x:c r="J212" s="5" t="n">
        <x:v>84</x:v>
      </x:c>
    </x:row>
    <x:row r="213">
      <x:c r="A213" t="str">
        <x:v>EMP212</x:v>
      </x:c>
      <x:c r="B213" t="str">
        <x:v>Lukman Ramadhan</x:v>
      </x:c>
      <x:c r="C213" t="str">
        <x:v>Operator Fuel</x:v>
      </x:c>
      <x:c r="D213" t="str">
        <x:v>OPERATIONAL &amp; COMMERCIAL</x:v>
      </x:c>
      <x:c r="E213" s="3" t="n">
        <x:v>6250000</x:v>
      </x:c>
      <x:c r="F213" t="str">
        <x:v>Laki-laki</x:v>
      </x:c>
      <x:c r="G213" t="str">
        <x:v>Belum Menikah</x:v>
      </x:c>
      <x:c r="H213" s="4" t="n">
        <x:v>44796</x:v>
      </x:c>
      <x:c r="I213" t="str">
        <x:v>Aktif</x:v>
      </x:c>
      <x:c r="J213" s="5" t="n">
        <x:v>91</x:v>
      </x:c>
    </x:row>
    <x:row r="214">
      <x:c r="A214" t="str">
        <x:v>EMP213</x:v>
      </x:c>
      <x:c r="B214" t="str">
        <x:v>Maya Ramadhan</x:v>
      </x:c>
      <x:c r="C214" t="str">
        <x:v>Operator Fuel</x:v>
      </x:c>
      <x:c r="D214" t="str">
        <x:v>OPERATIONAL &amp; COMMERCIAL</x:v>
      </x:c>
      <x:c r="E214" s="3" t="n">
        <x:v>5500000</x:v>
      </x:c>
      <x:c r="F214" t="str">
        <x:v>Laki-laki</x:v>
      </x:c>
      <x:c r="G214" t="str">
        <x:v>Belum Menikah</x:v>
      </x:c>
      <x:c r="H214" s="4" t="n">
        <x:v>45193</x:v>
      </x:c>
      <x:c r="I214" t="str">
        <x:v>Aktif</x:v>
      </x:c>
      <x:c r="J214" s="5" t="n">
        <x:v>98</x:v>
      </x:c>
    </x:row>
    <x:row r="215">
      <x:c r="A215" t="str">
        <x:v>EMP214</x:v>
      </x:c>
      <x:c r="B215" t="str">
        <x:v>Naufal Ramadhan</x:v>
      </x:c>
      <x:c r="C215" t="str">
        <x:v>Operator Fuel</x:v>
      </x:c>
      <x:c r="D215" t="str">
        <x:v>OPERATIONAL &amp; COMMERCIAL</x:v>
      </x:c>
      <x:c r="E215" s="3" t="n">
        <x:v>5750000</x:v>
      </x:c>
      <x:c r="F215" t="str">
        <x:v>Laki-laki</x:v>
      </x:c>
      <x:c r="G215" t="str">
        <x:v>Menikah</x:v>
      </x:c>
      <x:c r="H215" s="4" t="n">
        <x:v>45590</x:v>
      </x:c>
      <x:c r="I215" t="str">
        <x:v>Aktif</x:v>
      </x:c>
      <x:c r="J215" s="5" t="n">
        <x:v>78</x:v>
      </x:c>
    </x:row>
    <x:row r="216">
      <x:c r="A216" t="str">
        <x:v>EMP215</x:v>
      </x:c>
      <x:c r="B216" t="str">
        <x:v>Oktavia Ramadhan</x:v>
      </x:c>
      <x:c r="C216" t="str">
        <x:v>Environment</x:v>
      </x:c>
      <x:c r="D216" t="str">
        <x:v>OPERATIONAL &amp; COMMERCIAL</x:v>
      </x:c>
      <x:c r="E216" s="3" t="n">
        <x:v>6500000</x:v>
      </x:c>
      <x:c r="F216" t="str">
        <x:v>Laki-laki</x:v>
      </x:c>
      <x:c r="G216" t="str">
        <x:v>Belum Menikah</x:v>
      </x:c>
      <x:c r="H216" s="4" t="n">
        <x:v>45987</x:v>
      </x:c>
      <x:c r="I216" t="str">
        <x:v>Aktif</x:v>
      </x:c>
      <x:c r="J216" s="5" t="n">
        <x:v>85</x:v>
      </x:c>
    </x:row>
    <x:row r="217">
      <x:c r="A217" t="str">
        <x:v>EMP216</x:v>
      </x:c>
      <x:c r="B217" t="str">
        <x:v>Putra Ramadhan</x:v>
      </x:c>
      <x:c r="C217" t="str">
        <x:v>Environment</x:v>
      </x:c>
      <x:c r="D217" t="str">
        <x:v>OPERATIONAL &amp; COMMERCIAL</x:v>
      </x:c>
      <x:c r="E217" s="3" t="n">
        <x:v>6750000</x:v>
      </x:c>
      <x:c r="F217" t="str">
        <x:v>Laki-laki</x:v>
      </x:c>
      <x:c r="G217" t="str">
        <x:v>Belum Menikah</x:v>
      </x:c>
      <x:c r="H217" s="4" t="n">
        <x:v>46383</x:v>
      </x:c>
      <x:c r="I217" t="str">
        <x:v>Aktif</x:v>
      </x:c>
      <x:c r="J217" s="5" t="n">
        <x:v>92</x:v>
      </x:c>
    </x:row>
    <x:row r="218">
      <x:c r="A218" t="str">
        <x:v>EMP217</x:v>
      </x:c>
      <x:c r="B218" t="str">
        <x:v>Qori Ramadhan</x:v>
      </x:c>
      <x:c r="C218" t="str">
        <x:v>Supervisor Mekanik HEM</x:v>
      </x:c>
      <x:c r="D218" t="str">
        <x:v>OPERATIONAL &amp; COMMERCIAL</x:v>
      </x:c>
      <x:c r="E218" s="3" t="n">
        <x:v>9500000</x:v>
      </x:c>
      <x:c r="F218" t="str">
        <x:v>Laki-laki</x:v>
      </x:c>
      <x:c r="G218" t="str">
        <x:v>Menikah</x:v>
      </x:c>
      <x:c r="H218" s="4" t="n">
        <x:v>43101</x:v>
      </x:c>
      <x:c r="I218" t="str">
        <x:v>Aktif</x:v>
      </x:c>
      <x:c r="J218" s="5" t="n">
        <x:v>72</x:v>
      </x:c>
    </x:row>
    <x:row r="219">
      <x:c r="A219" t="str">
        <x:v>EMP218</x:v>
      </x:c>
      <x:c r="B219" t="str">
        <x:v>Rizky Ramadhan</x:v>
      </x:c>
      <x:c r="C219" t="str">
        <x:v>Supervisor Mekanik HEM</x:v>
      </x:c>
      <x:c r="D219" t="str">
        <x:v>OPERATIONAL &amp; COMMERCIAL</x:v>
      </x:c>
      <x:c r="E219" s="3" t="n">
        <x:v>9750000</x:v>
      </x:c>
      <x:c r="F219" t="str">
        <x:v>Perempuan</x:v>
      </x:c>
      <x:c r="G219" t="str">
        <x:v>Belum Menikah</x:v>
      </x:c>
      <x:c r="H219" s="4" t="n">
        <x:v>43498</x:v>
      </x:c>
      <x:c r="I219" t="str">
        <x:v>Aktif</x:v>
      </x:c>
      <x:c r="J219" s="5" t="n">
        <x:v>79</x:v>
      </x:c>
    </x:row>
    <x:row r="220">
      <x:c r="A220" t="str">
        <x:v>EMP219</x:v>
      </x:c>
      <x:c r="B220" t="str">
        <x:v>Sari Ramadhan</x:v>
      </x:c>
      <x:c r="C220" t="str">
        <x:v>Leader FABA</x:v>
      </x:c>
      <x:c r="D220" t="str">
        <x:v>OPERATIONAL &amp; COMMERCIAL</x:v>
      </x:c>
      <x:c r="E220" s="3" t="n">
        <x:v>8500000</x:v>
      </x:c>
      <x:c r="F220" t="str">
        <x:v>Laki-laki</x:v>
      </x:c>
      <x:c r="G220" t="str">
        <x:v>Belum Menikah</x:v>
      </x:c>
      <x:c r="H220" s="4" t="n">
        <x:v>43893</x:v>
      </x:c>
      <x:c r="I220" t="str">
        <x:v>Aktif</x:v>
      </x:c>
      <x:c r="J220" s="5" t="n">
        <x:v>86</x:v>
      </x:c>
    </x:row>
    <x:row r="221">
      <x:c r="A221" t="str">
        <x:v>EMP220</x:v>
      </x:c>
      <x:c r="B221" t="str">
        <x:v>Taufik Ramadhan</x:v>
      </x:c>
      <x:c r="C221" t="str">
        <x:v>Leader FABA</x:v>
      </x:c>
      <x:c r="D221" t="str">
        <x:v>OPERATIONAL &amp; COMMERCIAL</x:v>
      </x:c>
      <x:c r="E221" s="3" t="n">
        <x:v>8750000</x:v>
      </x:c>
      <x:c r="F221" t="str">
        <x:v>Laki-laki</x:v>
      </x:c>
      <x:c r="G221" t="str">
        <x:v>Menikah</x:v>
      </x:c>
      <x:c r="H221" s="4" t="n">
        <x:v>44290</x:v>
      </x:c>
      <x:c r="I221" t="str">
        <x:v>Aktif</x:v>
      </x:c>
      <x:c r="J221" s="5" t="n">
        <x:v>93</x:v>
      </x:c>
    </x:row>
  </x:sheetData>
  <x:pageMargins left="0.7" right="0.7" top="0.75" bottom="0.75" header="0.3" footer="0.3"/>
  <x:tableParts count="1">
    <x:tablePart xmlns:r="http://schemas.openxmlformats.org/officeDocument/2006/relationships" r:id="R6447ef2be32845f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28" hidden="0" customWidth="1"/>
    <x:col min="5" max="5" width="30" hidden="0" customWidth="1"/>
    <x:col min="6" max="6" width="14" hidden="0" customWidth="1"/>
  </x:cols>
  <x:sheetData>
    <x:row r="1" ht="34" customHeight="1">
      <x:c r="A1" s="21" t="str">
        <x:v>ESTIMASI KOMPOSISI KARYAWAN</x:v>
      </x:c>
      <x:c r="B1" s="21"/>
      <x:c r="C1" s="21"/>
      <x:c r="D1" s="21"/>
      <x:c r="E1" s="21"/>
      <x:c r="F1" s="21"/>
    </x:row>
    <x:row r="2">
      <x:c r="A2" s="16"/>
      <x:c r="B2" s="16"/>
      <x:c r="C2" s="16"/>
      <x:c r="D2" s="16"/>
      <x:c r="E2" s="16"/>
      <x:c r="F2" s="16"/>
    </x:row>
    <x:row r="3">
      <x:c r="A3" s="17" t="str">
        <x:v>Total estimasi karyawan</x:v>
      </x:c>
      <x:c r="B3" s="18" t="n">
        <x:f>COUNTA('Data Karyawan'!$A$2:$A$221)</x:f>
        <x:v>220</x:v>
      </x:c>
      <x:c r="C3" s="16"/>
      <x:c r="D3" s="16"/>
      <x:c r="E3" s="16"/>
      <x:c r="F3" s="16"/>
    </x:row>
    <x:row r="4">
      <x:c r="A4" s="16"/>
      <x:c r="B4" s="16"/>
      <x:c r="C4" s="16"/>
      <x:c r="D4" s="16"/>
      <x:c r="E4" s="16"/>
      <x:c r="F4" s="16"/>
    </x:row>
    <x:row r="5">
      <x:c r="A5" s="19" t="str">
        <x:v>Departemen</x:v>
      </x:c>
      <x:c r="B5" s="19" t="str">
        <x:v>Jumlah Karyawan</x:v>
      </x:c>
      <x:c r="C5" s="16"/>
      <x:c r="D5" s="19" t="str">
        <x:v>Departemen</x:v>
      </x:c>
      <x:c r="E5" s="19" t="str">
        <x:v>Posisi</x:v>
      </x:c>
      <x:c r="F5" s="19" t="str">
        <x:v>Jumlah</x:v>
      </x:c>
    </x:row>
    <x:row r="6">
      <x:c r="A6" s="20" t="str">
        <x:v>FINANCE</x:v>
      </x:c>
      <x:c r="B6" s="20" t="n">
        <x:f>COUNTIF('Data Karyawan'!$D$2:$D$221,A6)</x:f>
        <x:v>12</x:v>
      </x:c>
      <x:c r="C6" s="16"/>
      <x:c r="D6" s="20" t="str">
        <x:v>FINANCE</x:v>
      </x:c>
      <x:c r="E6" s="20" t="str">
        <x:v>Direktur Utama</x:v>
      </x:c>
      <x:c r="F6" s="20" t="n">
        <x:f>COUNTIFS('Data Karyawan'!$D$2:$D$221,D6,'Data Karyawan'!$C$2:$C$221,E6)</x:f>
        <x:v>1</x:v>
      </x:c>
    </x:row>
    <x:row r="7">
      <x:c r="A7" s="20" t="str">
        <x:v>PROJECT</x:v>
      </x:c>
      <x:c r="B7" s="20" t="n">
        <x:f>COUNTIF('Data Karyawan'!$D$2:$D$221,A7)</x:f>
        <x:v>30</x:v>
      </x:c>
      <x:c r="C7" s="16"/>
      <x:c r="D7" s="20" t="str">
        <x:v>FINANCE</x:v>
      </x:c>
      <x:c r="E7" s="20" t="str">
        <x:v>Manager Keuangan</x:v>
      </x:c>
      <x:c r="F7" s="20" t="n">
        <x:f>COUNTIFS('Data Karyawan'!$D$2:$D$221,D7,'Data Karyawan'!$C$2:$C$221,E7)</x:f>
        <x:v>1</x:v>
      </x:c>
    </x:row>
    <x:row r="8">
      <x:c r="A8" s="20" t="str">
        <x:v>HRGA</x:v>
      </x:c>
      <x:c r="B8" s="20" t="n">
        <x:f>COUNTIF('Data Karyawan'!$D$2:$D$221,A8)</x:f>
        <x:v>38</x:v>
      </x:c>
      <x:c r="C8" s="16"/>
      <x:c r="D8" s="20" t="str">
        <x:v>FINANCE</x:v>
      </x:c>
      <x:c r="E8" s="20" t="str">
        <x:v>Staff Keuangan</x:v>
      </x:c>
      <x:c r="F8" s="20" t="n">
        <x:f>COUNTIFS('Data Karyawan'!$D$2:$D$221,D8,'Data Karyawan'!$C$2:$C$221,E8)</x:f>
        <x:v>5</x:v>
      </x:c>
    </x:row>
    <x:row r="9">
      <x:c r="A9" s="20" t="str">
        <x:v>OPERATIONAL &amp; COMMERCIAL</x:v>
      </x:c>
      <x:c r="B9" s="20" t="n">
        <x:f>COUNTIF('Data Karyawan'!$D$2:$D$221,A9)</x:f>
        <x:v>140</x:v>
      </x:c>
      <x:c r="C9" s="16"/>
      <x:c r="D9" s="20" t="str">
        <x:v>FINANCE</x:v>
      </x:c>
      <x:c r="E9" s="20" t="str">
        <x:v>Admin</x:v>
      </x:c>
      <x:c r="F9" s="20" t="n">
        <x:f>COUNTIFS('Data Karyawan'!$D$2:$D$221,D9,'Data Karyawan'!$C$2:$C$221,E9)</x:f>
        <x:v>2</x:v>
      </x:c>
    </x:row>
    <x:row r="10">
      <x:c r="A10" s="16"/>
      <x:c r="B10" s="16"/>
      <x:c r="C10" s="16"/>
      <x:c r="D10" s="20" t="str">
        <x:v>FINANCE</x:v>
      </x:c>
      <x:c r="E10" s="20" t="str">
        <x:v>Pengadaan</x:v>
      </x:c>
      <x:c r="F10" s="20" t="n">
        <x:f>COUNTIFS('Data Karyawan'!$D$2:$D$221,D10,'Data Karyawan'!$C$2:$C$221,E10)</x:f>
        <x:v>2</x:v>
      </x:c>
    </x:row>
    <x:row r="11">
      <x:c r="A11" s="16"/>
      <x:c r="B11" s="16"/>
      <x:c r="C11" s="16"/>
      <x:c r="D11" s="20" t="str">
        <x:v>FINANCE</x:v>
      </x:c>
      <x:c r="E11" s="20" t="str">
        <x:v>Senior Advisor</x:v>
      </x:c>
      <x:c r="F11" s="20" t="n">
        <x:f>COUNTIFS('Data Karyawan'!$D$2:$D$221,D11,'Data Karyawan'!$C$2:$C$221,E11)</x:f>
        <x:v>1</x:v>
      </x:c>
    </x:row>
    <x:row r="12">
      <x:c r="A12" s="16"/>
      <x:c r="B12" s="16"/>
      <x:c r="C12" s="16"/>
      <x:c r="D12" s="20" t="str">
        <x:v>PROJECT</x:v>
      </x:c>
      <x:c r="E12" s="20" t="str">
        <x:v>Direktur</x:v>
      </x:c>
      <x:c r="F12" s="20" t="n">
        <x:f>COUNTIFS('Data Karyawan'!$D$2:$D$221,D12,'Data Karyawan'!$C$2:$C$221,E12)</x:f>
        <x:v>1</x:v>
      </x:c>
    </x:row>
    <x:row r="13">
      <x:c r="A13" s="16"/>
      <x:c r="B13" s="16"/>
      <x:c r="C13" s="16"/>
      <x:c r="D13" s="20" t="str">
        <x:v>PROJECT</x:v>
      </x:c>
      <x:c r="E13" s="20" t="str">
        <x:v>Site Manager PJBS</x:v>
      </x:c>
      <x:c r="F13" s="20" t="n">
        <x:f>COUNTIFS('Data Karyawan'!$D$2:$D$221,D13,'Data Karyawan'!$C$2:$C$221,E13)</x:f>
        <x:v>1</x:v>
      </x:c>
    </x:row>
    <x:row r="14">
      <x:c r="A14" s="16"/>
      <x:c r="B14" s="16"/>
      <x:c r="C14" s="16"/>
      <x:c r="D14" s="20" t="str">
        <x:v>PROJECT</x:v>
      </x:c>
      <x:c r="E14" s="20" t="str">
        <x:v>Business Advisor</x:v>
      </x:c>
      <x:c r="F14" s="20" t="n">
        <x:f>COUNTIFS('Data Karyawan'!$D$2:$D$221,D14,'Data Karyawan'!$C$2:$C$221,E14)</x:f>
        <x:v>1</x:v>
      </x:c>
    </x:row>
    <x:row r="15">
      <x:c r="A15" s="16"/>
      <x:c r="B15" s="16"/>
      <x:c r="C15" s="16"/>
      <x:c r="D15" s="20" t="str">
        <x:v>PROJECT</x:v>
      </x:c>
      <x:c r="E15" s="20" t="str">
        <x:v>Manager Contract Liaison</x:v>
      </x:c>
      <x:c r="F15" s="20" t="n">
        <x:f>COUNTIFS('Data Karyawan'!$D$2:$D$221,D15,'Data Karyawan'!$C$2:$C$221,E15)</x:f>
        <x:v>1</x:v>
      </x:c>
    </x:row>
    <x:row r="16">
      <x:c r="A16" s="16"/>
      <x:c r="B16" s="16"/>
      <x:c r="C16" s="16"/>
      <x:c r="D16" s="20" t="str">
        <x:v>PROJECT</x:v>
      </x:c>
      <x:c r="E16" s="20" t="str">
        <x:v>Staff Project</x:v>
      </x:c>
      <x:c r="F16" s="20" t="n">
        <x:f>COUNTIFS('Data Karyawan'!$D$2:$D$221,D16,'Data Karyawan'!$C$2:$C$221,E16)</x:f>
        <x:v>6</x:v>
      </x:c>
    </x:row>
    <x:row r="17">
      <x:c r="A17" s="16"/>
      <x:c r="B17" s="16"/>
      <x:c r="C17" s="16"/>
      <x:c r="D17" s="20" t="str">
        <x:v>PROJECT</x:v>
      </x:c>
      <x:c r="E17" s="20" t="str">
        <x:v>PIC</x:v>
      </x:c>
      <x:c r="F17" s="20" t="n">
        <x:f>COUNTIFS('Data Karyawan'!$D$2:$D$221,D17,'Data Karyawan'!$C$2:$C$221,E17)</x:f>
        <x:v>2</x:v>
      </x:c>
    </x:row>
    <x:row r="18">
      <x:c r="A18" s="16"/>
      <x:c r="B18" s="16"/>
      <x:c r="C18" s="16"/>
      <x:c r="D18" s="20" t="str">
        <x:v>PROJECT</x:v>
      </x:c>
      <x:c r="E18" s="20" t="str">
        <x:v>Site Manager</x:v>
      </x:c>
      <x:c r="F18" s="20" t="n">
        <x:f>COUNTIFS('Data Karyawan'!$D$2:$D$221,D18,'Data Karyawan'!$C$2:$C$221,E18)</x:f>
        <x:v>2</x:v>
      </x:c>
    </x:row>
    <x:row r="19">
      <x:c r="A19" s="16"/>
      <x:c r="B19" s="16"/>
      <x:c r="C19" s="16"/>
      <x:c r="D19" s="20" t="str">
        <x:v>PROJECT</x:v>
      </x:c>
      <x:c r="E19" s="20" t="str">
        <x:v>Leader Project</x:v>
      </x:c>
      <x:c r="F19" s="20" t="n">
        <x:f>COUNTIFS('Data Karyawan'!$D$2:$D$221,D19,'Data Karyawan'!$C$2:$C$221,E19)</x:f>
        <x:v>3</x:v>
      </x:c>
    </x:row>
    <x:row r="20">
      <x:c r="A20" s="16"/>
      <x:c r="B20" s="16"/>
      <x:c r="C20" s="16"/>
      <x:c r="D20" s="20" t="str">
        <x:v>PROJECT</x:v>
      </x:c>
      <x:c r="E20" s="20" t="str">
        <x:v>Surveyor</x:v>
      </x:c>
      <x:c r="F20" s="20" t="n">
        <x:f>COUNTIFS('Data Karyawan'!$D$2:$D$221,D20,'Data Karyawan'!$C$2:$C$221,E20)</x:f>
        <x:v>4</x:v>
      </x:c>
    </x:row>
    <x:row r="21">
      <x:c r="A21" s="16"/>
      <x:c r="B21" s="16"/>
      <x:c r="C21" s="16"/>
      <x:c r="D21" s="20" t="str">
        <x:v>PROJECT</x:v>
      </x:c>
      <x:c r="E21" s="20" t="str">
        <x:v>Admin Legal</x:v>
      </x:c>
      <x:c r="F21" s="20" t="n">
        <x:f>COUNTIFS('Data Karyawan'!$D$2:$D$221,D21,'Data Karyawan'!$C$2:$C$221,E21)</x:f>
        <x:v>2</x:v>
      </x:c>
    </x:row>
    <x:row r="22">
      <x:c r="A22" s="16"/>
      <x:c r="B22" s="16"/>
      <x:c r="C22" s="16"/>
      <x:c r="D22" s="20" t="str">
        <x:v>PROJECT</x:v>
      </x:c>
      <x:c r="E22" s="20" t="str">
        <x:v>HSSE</x:v>
      </x:c>
      <x:c r="F22" s="20" t="n">
        <x:f>COUNTIFS('Data Karyawan'!$D$2:$D$221,D22,'Data Karyawan'!$C$2:$C$221,E22)</x:f>
        <x:v>2</x:v>
      </x:c>
    </x:row>
    <x:row r="23">
      <x:c r="A23" s="16"/>
      <x:c r="B23" s="16"/>
      <x:c r="C23" s="16"/>
      <x:c r="D23" s="20" t="str">
        <x:v>PROJECT</x:v>
      </x:c>
      <x:c r="E23" s="20" t="str">
        <x:v>Admin HSSE</x:v>
      </x:c>
      <x:c r="F23" s="20" t="n">
        <x:f>COUNTIFS('Data Karyawan'!$D$2:$D$221,D23,'Data Karyawan'!$C$2:$C$221,E23)</x:f>
        <x:v>2</x:v>
      </x:c>
    </x:row>
    <x:row r="24">
      <x:c r="A24" s="16"/>
      <x:c r="B24" s="16"/>
      <x:c r="C24" s="16"/>
      <x:c r="D24" s="20" t="str">
        <x:v>PROJECT</x:v>
      </x:c>
      <x:c r="E24" s="20" t="str">
        <x:v>Driver</x:v>
      </x:c>
      <x:c r="F24" s="20" t="n">
        <x:f>COUNTIFS('Data Karyawan'!$D$2:$D$221,D24,'Data Karyawan'!$C$2:$C$221,E24)</x:f>
        <x:v>3</x:v>
      </x:c>
    </x:row>
    <x:row r="25">
      <x:c r="A25" s="16"/>
      <x:c r="B25" s="16"/>
      <x:c r="C25" s="16"/>
      <x:c r="D25" s="20" t="str">
        <x:v>HRGA</x:v>
      </x:c>
      <x:c r="E25" s="20" t="str">
        <x:v>Manager HRD</x:v>
      </x:c>
      <x:c r="F25" s="20" t="n">
        <x:f>COUNTIFS('Data Karyawan'!$D$2:$D$221,D25,'Data Karyawan'!$C$2:$C$221,E25)</x:f>
        <x:v>1</x:v>
      </x:c>
    </x:row>
    <x:row r="26">
      <x:c r="A26" s="16"/>
      <x:c r="B26" s="16"/>
      <x:c r="C26" s="16"/>
      <x:c r="D26" s="20" t="str">
        <x:v>HRGA</x:v>
      </x:c>
      <x:c r="E26" s="20" t="str">
        <x:v>Admin HR GA</x:v>
      </x:c>
      <x:c r="F26" s="20" t="n">
        <x:f>COUNTIFS('Data Karyawan'!$D$2:$D$221,D26,'Data Karyawan'!$C$2:$C$221,E26)</x:f>
        <x:v>4</x:v>
      </x:c>
    </x:row>
    <x:row r="27">
      <x:c r="A27" s="16"/>
      <x:c r="B27" s="16"/>
      <x:c r="C27" s="16"/>
      <x:c r="D27" s="20" t="str">
        <x:v>HRGA</x:v>
      </x:c>
      <x:c r="E27" s="20" t="str">
        <x:v>Staff IT</x:v>
      </x:c>
      <x:c r="F27" s="20" t="n">
        <x:f>COUNTIFS('Data Karyawan'!$D$2:$D$221,D27,'Data Karyawan'!$C$2:$C$221,E27)</x:f>
        <x:v>3</x:v>
      </x:c>
    </x:row>
    <x:row r="28">
      <x:c r="A28" s="16"/>
      <x:c r="B28" s="16"/>
      <x:c r="C28" s="16"/>
      <x:c r="D28" s="20" t="str">
        <x:v>HRGA</x:v>
      </x:c>
      <x:c r="E28" s="20" t="str">
        <x:v>Cleaning Office</x:v>
      </x:c>
      <x:c r="F28" s="20" t="n">
        <x:f>COUNTIFS('Data Karyawan'!$D$2:$D$221,D28,'Data Karyawan'!$C$2:$C$221,E28)</x:f>
        <x:v>8</x:v>
      </x:c>
    </x:row>
    <x:row r="29">
      <x:c r="A29" s="16"/>
      <x:c r="B29" s="16"/>
      <x:c r="C29" s="16"/>
      <x:c r="D29" s="20" t="str">
        <x:v>HRGA</x:v>
      </x:c>
      <x:c r="E29" s="20" t="str">
        <x:v>Security</x:v>
      </x:c>
      <x:c r="F29" s="20" t="n">
        <x:f>COUNTIFS('Data Karyawan'!$D$2:$D$221,D29,'Data Karyawan'!$C$2:$C$221,E29)</x:f>
        <x:v>10</x:v>
      </x:c>
    </x:row>
    <x:row r="30">
      <x:c r="A30" s="16"/>
      <x:c r="B30" s="16"/>
      <x:c r="C30" s="16"/>
      <x:c r="D30" s="20" t="str">
        <x:v>HRGA</x:v>
      </x:c>
      <x:c r="E30" s="20" t="str">
        <x:v>OB NPA</x:v>
      </x:c>
      <x:c r="F30" s="20" t="n">
        <x:f>COUNTIFS('Data Karyawan'!$D$2:$D$221,D30,'Data Karyawan'!$C$2:$C$221,E30)</x:f>
        <x:v>5</x:v>
      </x:c>
    </x:row>
    <x:row r="31">
      <x:c r="A31" s="16"/>
      <x:c r="B31" s="16"/>
      <x:c r="C31" s="16"/>
      <x:c r="D31" s="20" t="str">
        <x:v>HRGA</x:v>
      </x:c>
      <x:c r="E31" s="20" t="str">
        <x:v>Leader Housekeeping</x:v>
      </x:c>
      <x:c r="F31" s="20" t="n">
        <x:f>COUNTIFS('Data Karyawan'!$D$2:$D$221,D31,'Data Karyawan'!$C$2:$C$221,E31)</x:f>
        <x:v>2</x:v>
      </x:c>
    </x:row>
    <x:row r="32">
      <x:c r="A32" s="16"/>
      <x:c r="B32" s="16"/>
      <x:c r="C32" s="16"/>
      <x:c r="D32" s="20" t="str">
        <x:v>HRGA</x:v>
      </x:c>
      <x:c r="E32" s="20" t="str">
        <x:v>Helper Housekeeping</x:v>
      </x:c>
      <x:c r="F32" s="20" t="n">
        <x:f>COUNTIFS('Data Karyawan'!$D$2:$D$221,D32,'Data Karyawan'!$C$2:$C$221,E32)</x:f>
        <x:v>5</x:v>
      </x:c>
    </x:row>
    <x:row r="33">
      <x:c r="A33" s="16"/>
      <x:c r="B33" s="16"/>
      <x:c r="C33" s="16"/>
      <x:c r="D33" s="20" t="str">
        <x:v>OPERATIONAL &amp; COMMERCIAL</x:v>
      </x:c>
      <x:c r="E33" s="20" t="str">
        <x:v>Admin Ops</x:v>
      </x:c>
      <x:c r="F33" s="20" t="n">
        <x:f>COUNTIFS('Data Karyawan'!$D$2:$D$221,D33,'Data Karyawan'!$C$2:$C$221,E33)</x:f>
        <x:v>4</x:v>
      </x:c>
    </x:row>
    <x:row r="34">
      <x:c r="A34" s="16"/>
      <x:c r="B34" s="16"/>
      <x:c r="C34" s="16"/>
      <x:c r="D34" s="20" t="str">
        <x:v>OPERATIONAL &amp; COMMERCIAL</x:v>
      </x:c>
      <x:c r="E34" s="20" t="str">
        <x:v>Koordinator AYM FGD FABA</x:v>
      </x:c>
      <x:c r="F34" s="20" t="n">
        <x:f>COUNTIFS('Data Karyawan'!$D$2:$D$221,D34,'Data Karyawan'!$C$2:$C$221,E34)</x:f>
        <x:v>2</x:v>
      </x:c>
    </x:row>
    <x:row r="35">
      <x:c r="A35" s="16"/>
      <x:c r="B35" s="16"/>
      <x:c r="C35" s="16"/>
      <x:c r="D35" s="20" t="str">
        <x:v>OPERATIONAL &amp; COMMERCIAL</x:v>
      </x:c>
      <x:c r="E35" s="20" t="str">
        <x:v>Admin AYM</x:v>
      </x:c>
      <x:c r="F35" s="20" t="n">
        <x:f>COUNTIFS('Data Karyawan'!$D$2:$D$221,D35,'Data Karyawan'!$C$2:$C$221,E35)</x:f>
        <x:v>2</x:v>
      </x:c>
    </x:row>
    <x:row r="36">
      <x:c r="A36" s="16"/>
      <x:c r="B36" s="16"/>
      <x:c r="C36" s="16"/>
      <x:c r="D36" s="20" t="str">
        <x:v>OPERATIONAL &amp; COMMERCIAL</x:v>
      </x:c>
      <x:c r="E36" s="20" t="str">
        <x:v>Admin Pemanfaatan FABA</x:v>
      </x:c>
      <x:c r="F36" s="20" t="n">
        <x:f>COUNTIFS('Data Karyawan'!$D$2:$D$221,D36,'Data Karyawan'!$C$2:$C$221,E36)</x:f>
        <x:v>2</x:v>
      </x:c>
    </x:row>
    <x:row r="37">
      <x:c r="A37" s="16"/>
      <x:c r="B37" s="16"/>
      <x:c r="C37" s="16"/>
      <x:c r="D37" s="20" t="str">
        <x:v>OPERATIONAL &amp; COMMERCIAL</x:v>
      </x:c>
      <x:c r="E37" s="20" t="str">
        <x:v>PIC MG JT Roadsweeper</x:v>
      </x:c>
      <x:c r="F37" s="20" t="n">
        <x:f>COUNTIFS('Data Karyawan'!$D$2:$D$221,D37,'Data Karyawan'!$C$2:$C$221,E37)</x:f>
        <x:v>1</x:v>
      </x:c>
    </x:row>
    <x:row r="38">
      <x:c r="A38" s="16"/>
      <x:c r="B38" s="16"/>
      <x:c r="C38" s="16"/>
      <x:c r="D38" s="20" t="str">
        <x:v>OPERATIONAL &amp; COMMERCIAL</x:v>
      </x:c>
      <x:c r="E38" s="20" t="str">
        <x:v>PIC FGD FABA</x:v>
      </x:c>
      <x:c r="F38" s="20" t="n">
        <x:f>COUNTIFS('Data Karyawan'!$D$2:$D$221,D38,'Data Karyawan'!$C$2:$C$221,E38)</x:f>
        <x:v>1</x:v>
      </x:c>
    </x:row>
    <x:row r="39">
      <x:c r="A39" s="16"/>
      <x:c r="B39" s="16"/>
      <x:c r="C39" s="16"/>
      <x:c r="D39" s="20" t="str">
        <x:v>OPERATIONAL &amp; COMMERCIAL</x:v>
      </x:c>
      <x:c r="E39" s="20" t="str">
        <x:v>Operator Alat Berat</x:v>
      </x:c>
      <x:c r="F39" s="20" t="n">
        <x:f>COUNTIFS('Data Karyawan'!$D$2:$D$221,D39,'Data Karyawan'!$C$2:$C$221,E39)</x:f>
        <x:v>13</x:v>
      </x:c>
    </x:row>
    <x:row r="40">
      <x:c r="A40" s="16"/>
      <x:c r="B40" s="16"/>
      <x:c r="C40" s="16"/>
      <x:c r="D40" s="20" t="str">
        <x:v>OPERATIONAL &amp; COMMERCIAL</x:v>
      </x:c>
      <x:c r="E40" s="20" t="str">
        <x:v>Shift Leader</x:v>
      </x:c>
      <x:c r="F40" s="20" t="n">
        <x:f>COUNTIFS('Data Karyawan'!$D$2:$D$221,D40,'Data Karyawan'!$C$2:$C$221,E40)</x:f>
        <x:v>5</x:v>
      </x:c>
    </x:row>
    <x:row r="41">
      <x:c r="A41" s="16"/>
      <x:c r="B41" s="16"/>
      <x:c r="C41" s="16"/>
      <x:c r="D41" s="20" t="str">
        <x:v>OPERATIONAL &amp; COMMERCIAL</x:v>
      </x:c>
      <x:c r="E41" s="20" t="str">
        <x:v>Main Gate</x:v>
      </x:c>
      <x:c r="F41" s="20" t="n">
        <x:f>COUNTIFS('Data Karyawan'!$D$2:$D$221,D41,'Data Karyawan'!$C$2:$C$221,E41)</x:f>
        <x:v>6</x:v>
      </x:c>
    </x:row>
    <x:row r="42">
      <x:c r="A42" s="16"/>
      <x:c r="B42" s="16"/>
      <x:c r="C42" s="16"/>
      <x:c r="D42" s="20" t="str">
        <x:v>OPERATIONAL &amp; COMMERCIAL</x:v>
      </x:c>
      <x:c r="E42" s="20" t="str">
        <x:v>Jembatan Timbang</x:v>
      </x:c>
      <x:c r="F42" s="20" t="n">
        <x:f>COUNTIFS('Data Karyawan'!$D$2:$D$221,D42,'Data Karyawan'!$C$2:$C$221,E42)</x:f>
        <x:v>4</x:v>
      </x:c>
    </x:row>
    <x:row r="43">
      <x:c r="A43" s="16"/>
      <x:c r="B43" s="16"/>
      <x:c r="C43" s="16"/>
      <x:c r="D43" s="20" t="str">
        <x:v>OPERATIONAL &amp; COMMERCIAL</x:v>
      </x:c>
      <x:c r="E43" s="20" t="str">
        <x:v>Rigger</x:v>
      </x:c>
      <x:c r="F43" s="20" t="n">
        <x:f>COUNTIFS('Data Karyawan'!$D$2:$D$221,D43,'Data Karyawan'!$C$2:$C$221,E43)</x:f>
        <x:v>6</x:v>
      </x:c>
    </x:row>
    <x:row r="44">
      <x:c r="A44" s="16"/>
      <x:c r="B44" s="16"/>
      <x:c r="C44" s="16"/>
      <x:c r="D44" s="20" t="str">
        <x:v>OPERATIONAL &amp; COMMERCIAL</x:v>
      </x:c>
      <x:c r="E44" s="20" t="str">
        <x:v>Operator Pompa</x:v>
      </x:c>
      <x:c r="F44" s="20" t="n">
        <x:f>COUNTIFS('Data Karyawan'!$D$2:$D$221,D44,'Data Karyawan'!$C$2:$C$221,E44)</x:f>
        <x:v>6</x:v>
      </x:c>
    </x:row>
    <x:row r="45">
      <x:c r="A45" s="16"/>
      <x:c r="B45" s="16"/>
      <x:c r="C45" s="16"/>
      <x:c r="D45" s="20" t="str">
        <x:v>OPERATIONAL &amp; COMMERCIAL</x:v>
      </x:c>
      <x:c r="E45" s="20" t="str">
        <x:v>Operator Jaringan</x:v>
      </x:c>
      <x:c r="F45" s="20" t="n">
        <x:f>COUNTIFS('Data Karyawan'!$D$2:$D$221,D45,'Data Karyawan'!$C$2:$C$221,E45)</x:f>
        <x:v>4</x:v>
      </x:c>
    </x:row>
    <x:row r="46">
      <x:c r="A46" s="16"/>
      <x:c r="B46" s="16"/>
      <x:c r="C46" s="16"/>
      <x:c r="D46" s="20" t="str">
        <x:v>OPERATIONAL &amp; COMMERCIAL</x:v>
      </x:c>
      <x:c r="E46" s="20" t="str">
        <x:v>Cleaning Ash Yard</x:v>
      </x:c>
      <x:c r="F46" s="20" t="n">
        <x:f>COUNTIFS('Data Karyawan'!$D$2:$D$221,D46,'Data Karyawan'!$C$2:$C$221,E46)</x:f>
        <x:v>10</x:v>
      </x:c>
    </x:row>
    <x:row r="47">
      <x:c r="A47" s="16"/>
      <x:c r="B47" s="16"/>
      <x:c r="C47" s="16"/>
      <x:c r="D47" s="20" t="str">
        <x:v>OPERATIONAL &amp; COMMERCIAL</x:v>
      </x:c>
      <x:c r="E47" s="20" t="str">
        <x:v>Grass Cutting</x:v>
      </x:c>
      <x:c r="F47" s="20" t="n">
        <x:f>COUNTIFS('Data Karyawan'!$D$2:$D$221,D47,'Data Karyawan'!$C$2:$C$221,E47)</x:f>
        <x:v>5</x:v>
      </x:c>
    </x:row>
    <x:row r="48">
      <x:c r="A48" s="16"/>
      <x:c r="B48" s="16"/>
      <x:c r="C48" s="16"/>
      <x:c r="D48" s="20" t="str">
        <x:v>OPERATIONAL &amp; COMMERCIAL</x:v>
      </x:c>
      <x:c r="E48" s="20" t="str">
        <x:v>Mekanik</x:v>
      </x:c>
      <x:c r="F48" s="20" t="n">
        <x:f>COUNTIFS('Data Karyawan'!$D$2:$D$221,D48,'Data Karyawan'!$C$2:$C$221,E48)</x:f>
        <x:v>8</x:v>
      </x:c>
    </x:row>
    <x:row r="49">
      <x:c r="A49" s="16"/>
      <x:c r="B49" s="16"/>
      <x:c r="C49" s="16"/>
      <x:c r="D49" s="20" t="str">
        <x:v>OPERATIONAL &amp; COMMERCIAL</x:v>
      </x:c>
      <x:c r="E49" s="20" t="str">
        <x:v>Staff Gudang</x:v>
      </x:c>
      <x:c r="F49" s="20" t="n">
        <x:f>COUNTIFS('Data Karyawan'!$D$2:$D$221,D49,'Data Karyawan'!$C$2:$C$221,E49)</x:f>
        <x:v>4</x:v>
      </x:c>
    </x:row>
    <x:row r="50">
      <x:c r="A50" s="16"/>
      <x:c r="B50" s="16"/>
      <x:c r="C50" s="16"/>
      <x:c r="D50" s="20" t="str">
        <x:v>OPERATIONAL &amp; COMMERCIAL</x:v>
      </x:c>
      <x:c r="E50" s="20" t="str">
        <x:v>OW</x:v>
      </x:c>
      <x:c r="F50" s="20" t="n">
        <x:f>COUNTIFS('Data Karyawan'!$D$2:$D$221,D50,'Data Karyawan'!$C$2:$C$221,E50)</x:f>
        <x:v>3</x:v>
      </x:c>
    </x:row>
    <x:row r="51">
      <x:c r="A51" s="16"/>
      <x:c r="B51" s="16"/>
      <x:c r="C51" s="16"/>
      <x:c r="D51" s="20" t="str">
        <x:v>OPERATIONAL &amp; COMMERCIAL</x:v>
      </x:c>
      <x:c r="E51" s="20" t="str">
        <x:v>Operator FGD</x:v>
      </x:c>
      <x:c r="F51" s="20" t="n">
        <x:f>COUNTIFS('Data Karyawan'!$D$2:$D$221,D51,'Data Karyawan'!$C$2:$C$221,E51)</x:f>
        <x:v>6</x:v>
      </x:c>
    </x:row>
    <x:row r="52">
      <x:c r="A52" s="16"/>
      <x:c r="B52" s="16"/>
      <x:c r="C52" s="16"/>
      <x:c r="D52" s="20" t="str">
        <x:v>OPERATIONAL &amp; COMMERCIAL</x:v>
      </x:c>
      <x:c r="E52" s="20" t="str">
        <x:v>Mekanik FABA</x:v>
      </x:c>
      <x:c r="F52" s="20" t="n">
        <x:f>COUNTIFS('Data Karyawan'!$D$2:$D$221,D52,'Data Karyawan'!$C$2:$C$221,E52)</x:f>
        <x:v>4</x:v>
      </x:c>
    </x:row>
    <x:row r="53">
      <x:c r="A53" s="16"/>
      <x:c r="B53" s="16"/>
      <x:c r="C53" s="16"/>
      <x:c r="D53" s="20" t="str">
        <x:v>OPERATIONAL &amp; COMMERCIAL</x:v>
      </x:c>
      <x:c r="E53" s="20" t="str">
        <x:v>Operator FABA</x:v>
      </x:c>
      <x:c r="F53" s="20" t="n">
        <x:f>COUNTIFS('Data Karyawan'!$D$2:$D$221,D53,'Data Karyawan'!$C$2:$C$221,E53)</x:f>
        <x:v>9</x:v>
      </x:c>
    </x:row>
    <x:row r="54">
      <x:c r="A54" s="16"/>
      <x:c r="B54" s="16"/>
      <x:c r="C54" s="16"/>
      <x:c r="D54" s="20" t="str">
        <x:v>OPERATIONAL &amp; COMMERCIAL</x:v>
      </x:c>
      <x:c r="E54" s="20" t="str">
        <x:v>Supervisor Conveyor</x:v>
      </x:c>
      <x:c r="F54" s="20" t="n">
        <x:f>COUNTIFS('Data Karyawan'!$D$2:$D$221,D54,'Data Karyawan'!$C$2:$C$221,E54)</x:f>
        <x:v>2</x:v>
      </x:c>
    </x:row>
    <x:row r="55">
      <x:c r="A55" s="16"/>
      <x:c r="B55" s="16"/>
      <x:c r="C55" s="16"/>
      <x:c r="D55" s="20" t="str">
        <x:v>OPERATIONAL &amp; COMMERCIAL</x:v>
      </x:c>
      <x:c r="E55" s="20" t="str">
        <x:v>Mekanik Conveyor</x:v>
      </x:c>
      <x:c r="F55" s="20" t="n">
        <x:f>COUNTIFS('Data Karyawan'!$D$2:$D$221,D55,'Data Karyawan'!$C$2:$C$221,E55)</x:f>
        <x:v>3</x:v>
      </x:c>
    </x:row>
    <x:row r="56">
      <x:c r="A56" s="16"/>
      <x:c r="B56" s="16"/>
      <x:c r="C56" s="16"/>
      <x:c r="D56" s="20" t="str">
        <x:v>OPERATIONAL &amp; COMMERCIAL</x:v>
      </x:c>
      <x:c r="E56" s="20" t="str">
        <x:v>Operator Conveyor</x:v>
      </x:c>
      <x:c r="F56" s="20" t="n">
        <x:f>COUNTIFS('Data Karyawan'!$D$2:$D$221,D56,'Data Karyawan'!$C$2:$C$221,E56)</x:f>
        <x:v>7</x:v>
      </x:c>
    </x:row>
    <x:row r="57">
      <x:c r="A57" s="16"/>
      <x:c r="B57" s="16"/>
      <x:c r="C57" s="16"/>
      <x:c r="D57" s="20" t="str">
        <x:v>OPERATIONAL &amp; COMMERCIAL</x:v>
      </x:c>
      <x:c r="E57" s="20" t="str">
        <x:v>Biopori</x:v>
      </x:c>
      <x:c r="F57" s="20" t="n">
        <x:f>COUNTIFS('Data Karyawan'!$D$2:$D$221,D57,'Data Karyawan'!$C$2:$C$221,E57)</x:f>
        <x:v>3</x:v>
      </x:c>
    </x:row>
    <x:row r="58">
      <x:c r="A58" s="16"/>
      <x:c r="B58" s="16"/>
      <x:c r="C58" s="16"/>
      <x:c r="D58" s="20" t="str">
        <x:v>OPERATIONAL &amp; COMMERCIAL</x:v>
      </x:c>
      <x:c r="E58" s="20" t="str">
        <x:v>Mekanik HEM TJB</x:v>
      </x:c>
      <x:c r="F58" s="20" t="n">
        <x:f>COUNTIFS('Data Karyawan'!$D$2:$D$221,D58,'Data Karyawan'!$C$2:$C$221,E58)</x:f>
        <x:v>4</x:v>
      </x:c>
    </x:row>
    <x:row r="59">
      <x:c r="A59" s="16"/>
      <x:c r="B59" s="16"/>
      <x:c r="C59" s="16"/>
      <x:c r="D59" s="20" t="str">
        <x:v>OPERATIONAL &amp; COMMERCIAL</x:v>
      </x:c>
      <x:c r="E59" s="20" t="str">
        <x:v>Operator Roadsweeper</x:v>
      </x:c>
      <x:c r="F59" s="20" t="n">
        <x:f>COUNTIFS('Data Karyawan'!$D$2:$D$221,D59,'Data Karyawan'!$C$2:$C$221,E59)</x:f>
        <x:v>4</x:v>
      </x:c>
    </x:row>
    <x:row r="60">
      <x:c r="A60" s="16"/>
      <x:c r="B60" s="16"/>
      <x:c r="C60" s="16"/>
      <x:c r="D60" s="20" t="str">
        <x:v>OPERATIONAL &amp; COMMERCIAL</x:v>
      </x:c>
      <x:c r="E60" s="20" t="str">
        <x:v>Elektrik</x:v>
      </x:c>
      <x:c r="F60" s="20" t="n">
        <x:f>COUNTIFS('Data Karyawan'!$D$2:$D$221,D60,'Data Karyawan'!$C$2:$C$221,E60)</x:f>
        <x:v>3</x:v>
      </x:c>
    </x:row>
    <x:row r="61">
      <x:c r="A61" s="16"/>
      <x:c r="B61" s="16"/>
      <x:c r="C61" s="16"/>
      <x:c r="D61" s="20" t="str">
        <x:v>OPERATIONAL &amp; COMMERCIAL</x:v>
      </x:c>
      <x:c r="E61" s="20" t="str">
        <x:v>Operator Fuel</x:v>
      </x:c>
      <x:c r="F61" s="20" t="n">
        <x:f>COUNTIFS('Data Karyawan'!$D$2:$D$221,D61,'Data Karyawan'!$C$2:$C$221,E61)</x:f>
        <x:v>3</x:v>
      </x:c>
    </x:row>
    <x:row r="62">
      <x:c r="A62" s="16"/>
      <x:c r="B62" s="16"/>
      <x:c r="C62" s="16"/>
      <x:c r="D62" s="20" t="str">
        <x:v>OPERATIONAL &amp; COMMERCIAL</x:v>
      </x:c>
      <x:c r="E62" s="20" t="str">
        <x:v>Environment</x:v>
      </x:c>
      <x:c r="F62" s="20" t="n">
        <x:f>COUNTIFS('Data Karyawan'!$D$2:$D$221,D62,'Data Karyawan'!$C$2:$C$221,E62)</x:f>
        <x:v>2</x:v>
      </x:c>
    </x:row>
    <x:row r="63">
      <x:c r="A63" s="16"/>
      <x:c r="B63" s="16"/>
      <x:c r="C63" s="16"/>
      <x:c r="D63" s="20" t="str">
        <x:v>OPERATIONAL &amp; COMMERCIAL</x:v>
      </x:c>
      <x:c r="E63" s="20" t="str">
        <x:v>Supervisor Mekanik HEM</x:v>
      </x:c>
      <x:c r="F63" s="20" t="n">
        <x:f>COUNTIFS('Data Karyawan'!$D$2:$D$221,D63,'Data Karyawan'!$C$2:$C$221,E63)</x:f>
        <x:v>2</x:v>
      </x:c>
    </x:row>
    <x:row r="64">
      <x:c r="A64" s="16"/>
      <x:c r="B64" s="16"/>
      <x:c r="C64" s="16"/>
      <x:c r="D64" s="20" t="str">
        <x:v>OPERATIONAL &amp; COMMERCIAL</x:v>
      </x:c>
      <x:c r="E64" s="20" t="str">
        <x:v>Leader FABA</x:v>
      </x:c>
      <x:c r="F64" s="20" t="n">
        <x:f>COUNTIFS('Data Karyawan'!$D$2:$D$221,D64,'Data Karyawan'!$C$2:$C$221,E64)</x:f>
        <x:v>2</x:v>
      </x:c>
    </x:row>
    <x:row r="65">
      <x:c r="A65" s="16"/>
      <x:c r="B65" s="16"/>
      <x:c r="C65" s="16"/>
      <x:c r="D65" s="16"/>
      <x:c r="E65" s="16"/>
      <x:c r="F65" s="16"/>
    </x:row>
    <x:row r="66">
      <x:c r="A66" s="16"/>
      <x:c r="B66" s="16"/>
      <x:c r="C66" s="16"/>
      <x:c r="D66" s="16"/>
      <x:c r="E66" s="16"/>
      <x:c r="F66" s="16"/>
    </x:row>
    <x:row r="67">
      <x:c r="A67" s="16"/>
      <x:c r="B67" s="16"/>
      <x:c r="C67" s="16"/>
      <x:c r="D67" s="16"/>
      <x:c r="E67" s="16"/>
      <x:c r="F67" s="16"/>
    </x:row>
    <x:row r="68">
      <x:c r="A68" s="16"/>
      <x:c r="B68" s="16"/>
      <x:c r="C68" s="16"/>
      <x:c r="D68" s="16"/>
      <x:c r="E68" s="16"/>
      <x:c r="F68" s="16"/>
    </x:row>
    <x:row r="69">
      <x:c r="A69" s="16"/>
      <x:c r="B69" s="16"/>
      <x:c r="C69" s="16"/>
      <x:c r="D69" s="16"/>
      <x:c r="E69" s="16"/>
      <x:c r="F69" s="16"/>
    </x:row>
    <x:row r="70">
      <x:c r="A70" s="16"/>
      <x:c r="B70" s="16"/>
      <x:c r="C70" s="16"/>
      <x:c r="D70" s="16"/>
      <x:c r="E70" s="16"/>
      <x:c r="F70" s="16"/>
    </x:row>
    <x:row r="71">
      <x:c r="A71" s="16"/>
      <x:c r="B71" s="16"/>
      <x:c r="C71" s="16"/>
      <x:c r="D71" s="16"/>
      <x:c r="E71" s="16"/>
      <x:c r="F71" s="16"/>
    </x:row>
    <x:row r="72">
      <x:c r="A72" s="16"/>
      <x:c r="B72" s="16"/>
      <x:c r="C72" s="16"/>
      <x:c r="D72" s="16"/>
      <x:c r="E72" s="16"/>
      <x:c r="F72" s="16"/>
    </x:row>
    <x:row r="73">
      <x:c r="A73" s="16"/>
      <x:c r="B73" s="16"/>
      <x:c r="C73" s="16"/>
      <x:c r="D73" s="16"/>
      <x:c r="E73" s="16"/>
      <x:c r="F73" s="16"/>
    </x:row>
    <x:row r="74">
      <x:c r="A74" s="16"/>
      <x:c r="B74" s="16"/>
      <x:c r="C74" s="16"/>
      <x:c r="D74" s="16"/>
      <x:c r="E74" s="16"/>
      <x:c r="F74" s="16"/>
    </x:row>
    <x:row r="75">
      <x:c r="A75" s="16"/>
      <x:c r="B75" s="16"/>
      <x:c r="C75" s="16"/>
      <x:c r="D75" s="16"/>
      <x:c r="E75" s="16"/>
      <x:c r="F75" s="16"/>
    </x:row>
    <x:row r="76">
      <x:c r="A76" s="16"/>
      <x:c r="B76" s="16"/>
      <x:c r="C76" s="16"/>
      <x:c r="D76" s="16"/>
      <x:c r="E76" s="16"/>
      <x:c r="F76" s="16"/>
    </x:row>
    <x:row r="77">
      <x:c r="A77" s="16"/>
      <x:c r="B77" s="16"/>
      <x:c r="C77" s="16"/>
      <x:c r="D77" s="16"/>
      <x:c r="E77" s="16"/>
      <x:c r="F77" s="16"/>
    </x:row>
    <x:row r="78">
      <x:c r="A78" s="16"/>
      <x:c r="B78" s="16"/>
      <x:c r="C78" s="16"/>
      <x:c r="D78" s="16"/>
      <x:c r="E78" s="16"/>
      <x:c r="F78" s="16"/>
    </x:row>
    <x:row r="79">
      <x:c r="A79" s="16"/>
      <x:c r="B79" s="16"/>
      <x:c r="C79" s="16"/>
      <x:c r="D79" s="16"/>
      <x:c r="E79" s="16"/>
      <x:c r="F79" s="16"/>
    </x:row>
    <x:row r="80">
      <x:c r="A80" s="16"/>
      <x:c r="B80" s="16"/>
      <x:c r="C80" s="16"/>
      <x:c r="D80" s="16"/>
      <x:c r="E80" s="16"/>
      <x:c r="F80" s="16"/>
    </x:row>
    <x:row r="81">
      <x:c r="A81" s="16"/>
      <x:c r="B81" s="16"/>
      <x:c r="C81" s="16"/>
      <x:c r="D81" s="16"/>
      <x:c r="E81" s="16"/>
      <x:c r="F81" s="16"/>
    </x:row>
    <x:row r="82">
      <x:c r="A82" s="16"/>
      <x:c r="B82" s="16"/>
      <x:c r="C82" s="16"/>
      <x:c r="D82" s="16"/>
      <x:c r="E82" s="16"/>
      <x:c r="F82" s="16"/>
    </x:row>
    <x:row r="83">
      <x:c r="A83" s="16"/>
      <x:c r="B83" s="16"/>
      <x:c r="C83" s="16"/>
      <x:c r="D83" s="16"/>
      <x:c r="E83" s="16"/>
      <x:c r="F83" s="16"/>
    </x:row>
    <x:row r="84">
      <x:c r="A84" s="16"/>
      <x:c r="B84" s="16"/>
      <x:c r="C84" s="16"/>
      <x:c r="D84" s="16"/>
      <x:c r="E84" s="16"/>
      <x:c r="F84" s="16"/>
    </x:row>
    <x:row r="85">
      <x:c r="A85" s="16"/>
      <x:c r="B85" s="16"/>
      <x:c r="C85" s="16"/>
      <x:c r="D85" s="16"/>
      <x:c r="E85" s="16"/>
      <x:c r="F85" s="16"/>
    </x:row>
    <x:row r="86">
      <x:c r="A86" s="16"/>
      <x:c r="B86" s="16"/>
      <x:c r="C86" s="16"/>
      <x:c r="D86" s="16"/>
      <x:c r="E86" s="16"/>
      <x:c r="F86" s="16"/>
    </x:row>
    <x:row r="87">
      <x:c r="A87" s="16"/>
      <x:c r="B87" s="16"/>
      <x:c r="C87" s="16"/>
      <x:c r="D87" s="16"/>
      <x:c r="E87" s="16"/>
      <x:c r="F87" s="16"/>
    </x:row>
    <x:row r="88">
      <x:c r="A88" s="16"/>
      <x:c r="B88" s="16"/>
      <x:c r="C88" s="16"/>
      <x:c r="D88" s="16"/>
      <x:c r="E88" s="16"/>
      <x:c r="F88" s="16"/>
    </x:row>
    <x:row r="89">
      <x:c r="A89" s="16"/>
      <x:c r="B89" s="16"/>
      <x:c r="C89" s="16"/>
      <x:c r="D89" s="16"/>
      <x:c r="E89" s="16"/>
      <x:c r="F89" s="16"/>
    </x:row>
    <x:row r="90">
      <x:c r="A90" s="16"/>
      <x:c r="B90" s="16"/>
      <x:c r="C90" s="16"/>
      <x:c r="D90" s="16"/>
      <x:c r="E90" s="16"/>
      <x:c r="F90" s="16"/>
    </x:row>
    <x:row r="91">
      <x:c r="A91" s="16"/>
      <x:c r="B91" s="16"/>
      <x:c r="C91" s="16"/>
      <x:c r="D91" s="16"/>
      <x:c r="E91" s="16"/>
      <x:c r="F91" s="16"/>
    </x:row>
    <x:row r="92">
      <x:c r="A92" s="16"/>
      <x:c r="B92" s="16"/>
      <x:c r="C92" s="16"/>
      <x:c r="D92" s="16"/>
      <x:c r="E92" s="16"/>
      <x:c r="F92" s="16"/>
    </x:row>
    <x:row r="93">
      <x:c r="A93" s="16"/>
      <x:c r="B93" s="16"/>
      <x:c r="C93" s="16"/>
      <x:c r="D93" s="16"/>
      <x:c r="E93" s="16"/>
      <x:c r="F93" s="16"/>
    </x:row>
    <x:row r="94">
      <x:c r="A94" s="16"/>
      <x:c r="B94" s="16"/>
      <x:c r="C94" s="16"/>
      <x:c r="D94" s="16"/>
      <x:c r="E94" s="16"/>
      <x:c r="F94" s="16"/>
    </x:row>
    <x:row r="95">
      <x:c r="A95" s="16"/>
      <x:c r="B95" s="16"/>
      <x:c r="C95" s="16"/>
      <x:c r="D95" s="16"/>
      <x:c r="E95" s="16"/>
      <x:c r="F95" s="16"/>
    </x:row>
    <x:row r="96">
      <x:c r="A96" s="16"/>
      <x:c r="B96" s="16"/>
      <x:c r="C96" s="16"/>
      <x:c r="D96" s="16"/>
      <x:c r="E96" s="16"/>
      <x:c r="F96" s="16"/>
    </x:row>
    <x:row r="97">
      <x:c r="A97" s="16"/>
      <x:c r="B97" s="16"/>
      <x:c r="C97" s="16"/>
      <x:c r="D97" s="16"/>
      <x:c r="E97" s="16"/>
      <x:c r="F97" s="16"/>
    </x:row>
    <x:row r="98">
      <x:c r="A98" s="16"/>
      <x:c r="B98" s="16"/>
      <x:c r="C98" s="16"/>
      <x:c r="D98" s="16"/>
      <x:c r="E98" s="16"/>
      <x:c r="F98" s="16"/>
    </x:row>
    <x:row r="99">
      <x:c r="A99" s="16"/>
      <x:c r="B99" s="16"/>
      <x:c r="C99" s="16"/>
      <x:c r="D99" s="16"/>
      <x:c r="E99" s="16"/>
      <x:c r="F99" s="16"/>
    </x:row>
    <x:row r="100">
      <x:c r="A100" s="16"/>
      <x:c r="B100" s="16"/>
      <x:c r="C100" s="16"/>
      <x:c r="D100" s="16"/>
      <x:c r="E100" s="16"/>
      <x:c r="F100" s="16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 ht="34" customHeight="1">
      <x:c r="A1" s="7" t="str">
        <x:v>PANDUAN &amp; ASUMSI DATA</x:v>
      </x:c>
      <x:c r="B1" s="7"/>
    </x:row>
    <x:row r="3" ht="30" customHeight="1">
      <x:c r="A3" s="22" t="str">
        <x:v>Tujuan</x:v>
      </x:c>
      <x:c r="B3" s="23" t="str">
        <x:v>Data contoh untuk memperkirakan komposisi karyawan dan menguji fitur import Excel.</x:v>
      </x:c>
    </x:row>
    <x:row r="4" ht="30" customHeight="1">
      <x:c r="A4" s="22" t="str">
        <x:v>Jumlah</x:v>
      </x:c>
      <x:c r="B4" s="23" t="str">
        <x:v>220 data karyawan sintetis; bukan data karyawan sebenarnya.</x:v>
      </x:c>
    </x:row>
    <x:row r="5" ht="30" customHeight="1">
      <x:c r="A5" s="22" t="str">
        <x:v>Departemen</x:v>
      </x:c>
      <x:c r="B5" s="23" t="str">
        <x:v>FINANCE, PROJECT, HRGA, dan OPERATIONAL &amp; COMMERCIAL.</x:v>
      </x:c>
    </x:row>
    <x:row r="6" ht="30" customHeight="1">
      <x:c r="A6" s="22" t="str">
        <x:v>Format import</x:v>
      </x:c>
      <x:c r="B6" s="23" t="str">
        <x:v>Gunakan sheet pertama (Data Karyawan). Nama kolom telah disesuaikan dengan importer aplikasi.</x:v>
      </x:c>
    </x:row>
    <x:row r="7" ht="30" customHeight="1">
      <x:c r="A7" s="22" t="str">
        <x:v>Peringatan</x:v>
      </x:c>
      <x:c r="B7" s="23" t="str">
        <x:v>Fitur import aplikasi saat ini mengganti seluruh data karyawan. Cadangkan database sebelum import.</x:v>
      </x:c>
    </x:row>
    <x:row r="8" ht="30" customHeight="1">
      <x:c r="A8" s="22" t="str">
        <x:v>Tanggal</x:v>
      </x:c>
      <x:c r="B8" s="23" t="str">
        <x:v>Tanggal Masuk disimpan sebagai tanggal Excel dan ditampilkan yyyy-mm-dd.</x:v>
      </x:c>
    </x:row>
    <x:row r="9" ht="30" customHeight="1">
      <x:c r="A9" s="22" t="str">
        <x:v>Penyesuaian</x:v>
      </x:c>
      <x:c r="B9" s="23" t="str">
        <x:v>Ubah nama, gaji, status, dan jumlah baris sesuai data resmi perusahaan sebelum digunakan.</x:v>
      </x:c>
    </x:row>
  </x:sheetData>
  <x:mergeCells>
    <x:mergeCell ref="A1:B1"/>
  </x:mergeCells>
  <x:pageMargins left="0.7" right="0.7" top="0.75" bottom="0.75" header="0.3" footer="0.3"/>
</x:worksheet>
</file>